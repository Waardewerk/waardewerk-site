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es" sheetId="1" state="visible" r:id="rId1"/>
    <sheet xmlns:r="http://schemas.openxmlformats.org/officeDocument/2006/relationships" name="SROI_Regels" sheetId="2" state="visible" r:id="rId2"/>
    <sheet xmlns:r="http://schemas.openxmlformats.org/officeDocument/2006/relationships" name="Arbeidsmarkt" sheetId="3" state="visible" r:id="rId3"/>
    <sheet xmlns:r="http://schemas.openxmlformats.org/officeDocument/2006/relationships" name="Subsidies" sheetId="4" state="visible" r:id="rId4"/>
    <sheet xmlns:r="http://schemas.openxmlformats.org/officeDocument/2006/relationships" name="Instelling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1a1a1a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a2e45"/>
      </patternFill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FFFDE7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854F0B"/>
      </patternFill>
    </fill>
    <fill>
      <patternFill patternType="solid">
        <fgColor rgb="00534A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4" fillId="4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6" fillId="6" borderId="0" applyAlignment="1" pivotButton="0" quotePrefix="0" xfId="0">
      <alignment vertical="center" wrapText="1"/>
    </xf>
    <xf numFmtId="0" fontId="7" fillId="5" borderId="0" pivotButton="0" quotePrefix="0" xfId="0"/>
    <xf numFmtId="0" fontId="7" fillId="6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5" customWidth="1" min="3" max="3"/>
  </cols>
  <sheetData>
    <row r="1" ht="50" customHeight="1">
      <c r="B1" s="1" t="inlineStr">
        <is>
          <t>SROI Monitor Nederland — Invulsjabloon (top 25 gemeenten)</t>
        </is>
      </c>
    </row>
    <row r="3" ht="20" customHeight="1">
      <c r="B3" s="2" t="inlineStr">
        <is>
          <t>Hoe gebruik je dit sjabloon?</t>
        </is>
      </c>
    </row>
    <row r="4" ht="18" customHeight="1">
      <c r="B4" s="3" t="inlineStr">
        <is>
          <t>De top 25 gemeenten staan al ingevuld met schattingen — controleer en corrigeer waar nodig.</t>
        </is>
      </c>
    </row>
    <row r="5" ht="18" customHeight="1">
      <c r="B5" s="3" t="inlineStr">
        <is>
          <t>Gele cellen zijn verplicht. Witte cellen zijn optioneel maar verbeteren de monitor.</t>
        </is>
      </c>
    </row>
    <row r="6" ht="18" customHeight="1">
      <c r="B6" s="3" t="inlineStr">
        <is>
          <t>SROI-percentages en beleidsstatus zijn schattingen — check via gemeentewebsites of PIANOo.</t>
        </is>
      </c>
    </row>
    <row r="7" ht="18" customHeight="1">
      <c r="B7" s="3" t="inlineStr">
        <is>
          <t>Na invullen: sla op en geef door aan Claude Code om in te laden in de monitor.</t>
        </is>
      </c>
    </row>
    <row r="8" ht="18" customHeight="1">
      <c r="B8" s="3" t="inlineStr">
        <is>
          <t>GM-codes zijn CBS-gemeentecodes — gebruik die als unieke sleutel.</t>
        </is>
      </c>
    </row>
    <row r="9" ht="20" customHeight="1">
      <c r="B9" s="2" t="inlineStr">
        <is>
          <t>Tabbladen</t>
        </is>
      </c>
    </row>
    <row r="10" ht="18" customHeight="1">
      <c r="B10" s="4" t="inlineStr">
        <is>
          <t>SROI_Regels</t>
        </is>
      </c>
      <c r="C10" s="5" t="inlineStr">
        <is>
          <t>SROI-%, status, drempelwaarde, aanbestedingsvolume</t>
        </is>
      </c>
    </row>
    <row r="11" ht="18" customHeight="1">
      <c r="B11" s="4" t="inlineStr">
        <is>
          <t>Arbeidsmarkt</t>
        </is>
      </c>
      <c r="C11" s="5" t="inlineStr">
        <is>
          <t>Werkloosheid, bijstand, doelgroepen per gemeente</t>
        </is>
      </c>
    </row>
    <row r="12" ht="18" customHeight="1">
      <c r="B12" s="4" t="inlineStr">
        <is>
          <t>Subsidies</t>
        </is>
      </c>
      <c r="C12" s="5" t="inlineStr">
        <is>
          <t>BUIG-budget en re-integratiegeld</t>
        </is>
      </c>
    </row>
    <row r="13" ht="18" customHeight="1">
      <c r="B13" s="4" t="inlineStr">
        <is>
          <t>Succesverhalen</t>
        </is>
      </c>
      <c r="C13" s="5" t="inlineStr">
        <is>
          <t>Afgeronde trajecten met resultaten</t>
        </is>
      </c>
    </row>
    <row r="14" ht="18" customHeight="1">
      <c r="B14" s="4" t="inlineStr">
        <is>
          <t>Instellingen</t>
        </is>
      </c>
      <c r="C14" s="5" t="inlineStr">
        <is>
          <t>WSP's, sw-bedrijven en partners</t>
        </is>
      </c>
    </row>
  </sheetData>
  <mergeCells count="8">
    <mergeCell ref="B6:C6"/>
    <mergeCell ref="B7:C7"/>
    <mergeCell ref="B3:C3"/>
    <mergeCell ref="B5:C5"/>
    <mergeCell ref="B9:C9"/>
    <mergeCell ref="B1:C1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0" customWidth="1" min="4" max="4"/>
    <col width="18" customWidth="1" min="5" max="5"/>
    <col width="14" customWidth="1" min="6" max="6"/>
    <col width="22" customWidth="1" min="7" max="7"/>
    <col width="14" customWidth="1" min="8" max="8"/>
    <col width="18" customWidth="1" min="9" max="9"/>
    <col width="35" customWidth="1" min="10" max="10"/>
    <col width="25" customWidth="1" min="11" max="11"/>
    <col width="25" customWidth="1" min="12" max="12"/>
    <col width="14" customWidth="1" min="13" max="13"/>
    <col width="25" customWidth="1" min="14" max="14"/>
  </cols>
  <sheetData>
    <row r="1" ht="36" customHeight="1">
      <c r="A1" s="6" t="inlineStr">
        <is>
          <t>GM-code</t>
        </is>
      </c>
      <c r="B1" s="6" t="inlineStr">
        <is>
          <t>Gemeente</t>
        </is>
      </c>
      <c r="C1" s="6" t="inlineStr">
        <is>
          <t>Provincie</t>
        </is>
      </c>
      <c r="D1" s="6" t="inlineStr">
        <is>
          <t>SROI %</t>
        </is>
      </c>
      <c r="E1" s="6" t="inlineStr">
        <is>
          <t>Status</t>
        </is>
      </c>
      <c r="F1" s="6" t="inlineStr">
        <is>
          <t>Drempel (€)</t>
        </is>
      </c>
      <c r="G1" s="6" t="inlineStr">
        <is>
          <t>Type opdrachten</t>
        </is>
      </c>
      <c r="H1" s="6" t="inlineStr">
        <is>
          <t>Monitoring</t>
        </is>
      </c>
      <c r="I1" s="6" t="inlineStr">
        <is>
          <t>Aanbestedingsvol. (€)</t>
        </is>
      </c>
      <c r="J1" s="6" t="inlineStr">
        <is>
          <t>Link beleidsdoc.</t>
        </is>
      </c>
      <c r="K1" s="6" t="inlineStr">
        <is>
          <t>Contactpersoon</t>
        </is>
      </c>
      <c r="L1" s="6" t="inlineStr">
        <is>
          <t>E-mail</t>
        </is>
      </c>
      <c r="M1" s="6" t="inlineStr">
        <is>
          <t>Update</t>
        </is>
      </c>
      <c r="N1" s="6" t="inlineStr">
        <is>
          <t>Opmerkingen</t>
        </is>
      </c>
    </row>
    <row r="2" ht="16" customHeight="1">
      <c r="A2" s="7" t="inlineStr">
        <is>
          <t>GM0363</t>
        </is>
      </c>
      <c r="B2" s="7" t="inlineStr">
        <is>
          <t>Amsterdam</t>
        </is>
      </c>
      <c r="C2" s="8" t="inlineStr">
        <is>
          <t>Noord-Holland</t>
        </is>
      </c>
      <c r="D2" s="7" t="inlineStr">
        <is>
          <t>5%</t>
        </is>
      </c>
      <c r="E2" s="7" t="inlineStr">
        <is>
          <t>Verplicht</t>
        </is>
      </c>
      <c r="F2" s="7" t="n">
        <v>250000</v>
      </c>
      <c r="G2" s="8" t="inlineStr">
        <is>
          <t>Werken, Diensten</t>
        </is>
      </c>
      <c r="H2" s="8" t="inlineStr">
        <is>
          <t>Kwartaal</t>
        </is>
      </c>
      <c r="I2" s="8" t="n">
        <v>3100000000</v>
      </c>
      <c r="J2" s="8" t="inlineStr"/>
      <c r="K2" s="8" t="inlineStr"/>
      <c r="L2" s="8" t="inlineStr"/>
      <c r="M2" s="8" t="inlineStr"/>
      <c r="N2" s="8" t="inlineStr"/>
    </row>
    <row r="3" ht="16" customHeight="1">
      <c r="A3" s="7" t="inlineStr">
        <is>
          <t>GM0599</t>
        </is>
      </c>
      <c r="B3" s="7" t="inlineStr">
        <is>
          <t>Rotterdam</t>
        </is>
      </c>
      <c r="C3" s="8" t="inlineStr">
        <is>
          <t>Zuid-Holland</t>
        </is>
      </c>
      <c r="D3" s="7" t="inlineStr">
        <is>
          <t>5%</t>
        </is>
      </c>
      <c r="E3" s="7" t="inlineStr">
        <is>
          <t>Verplicht</t>
        </is>
      </c>
      <c r="F3" s="7" t="n">
        <v>250000</v>
      </c>
      <c r="G3" s="8" t="inlineStr">
        <is>
          <t>Werken, Diensten</t>
        </is>
      </c>
      <c r="H3" s="8" t="inlineStr">
        <is>
          <t>Kwartaal</t>
        </is>
      </c>
      <c r="I3" s="8" t="n">
        <v>2400000000</v>
      </c>
      <c r="J3" s="8" t="inlineStr"/>
      <c r="K3" s="8" t="inlineStr"/>
      <c r="L3" s="8" t="inlineStr"/>
      <c r="M3" s="8" t="inlineStr"/>
      <c r="N3" s="8" t="inlineStr"/>
    </row>
    <row r="4" ht="16" customHeight="1">
      <c r="A4" s="7" t="inlineStr">
        <is>
          <t>GM0518</t>
        </is>
      </c>
      <c r="B4" s="7" t="inlineStr">
        <is>
          <t>Den Haag</t>
        </is>
      </c>
      <c r="C4" s="8" t="inlineStr">
        <is>
          <t>Zuid-Holland</t>
        </is>
      </c>
      <c r="D4" s="7" t="inlineStr">
        <is>
          <t>5%</t>
        </is>
      </c>
      <c r="E4" s="7" t="inlineStr">
        <is>
          <t>Verplicht</t>
        </is>
      </c>
      <c r="F4" s="7" t="n">
        <v>250000</v>
      </c>
      <c r="G4" s="8" t="inlineStr">
        <is>
          <t>Werken, Diensten</t>
        </is>
      </c>
      <c r="H4" s="8" t="inlineStr">
        <is>
          <t>Kwartaal</t>
        </is>
      </c>
      <c r="I4" s="8" t="n">
        <v>1800000000</v>
      </c>
      <c r="J4" s="8" t="inlineStr"/>
      <c r="K4" s="8" t="inlineStr"/>
      <c r="L4" s="8" t="inlineStr"/>
      <c r="M4" s="8" t="inlineStr"/>
      <c r="N4" s="8" t="inlineStr"/>
    </row>
    <row r="5" ht="16" customHeight="1">
      <c r="A5" s="7" t="inlineStr">
        <is>
          <t>GM0344</t>
        </is>
      </c>
      <c r="B5" s="7" t="inlineStr">
        <is>
          <t>Utrecht</t>
        </is>
      </c>
      <c r="C5" s="8" t="inlineStr">
        <is>
          <t>Utrecht</t>
        </is>
      </c>
      <c r="D5" s="7" t="inlineStr">
        <is>
          <t>5%</t>
        </is>
      </c>
      <c r="E5" s="7" t="inlineStr">
        <is>
          <t>Verplicht</t>
        </is>
      </c>
      <c r="F5" s="7" t="n">
        <v>250000</v>
      </c>
      <c r="G5" s="8" t="inlineStr">
        <is>
          <t>Werken, Diensten</t>
        </is>
      </c>
      <c r="H5" s="8" t="inlineStr">
        <is>
          <t>Kwartaal</t>
        </is>
      </c>
      <c r="I5" s="8" t="n">
        <v>890000000</v>
      </c>
      <c r="J5" s="8" t="inlineStr"/>
      <c r="K5" s="8" t="inlineStr"/>
      <c r="L5" s="8" t="inlineStr"/>
      <c r="M5" s="8" t="inlineStr"/>
      <c r="N5" s="8" t="inlineStr"/>
    </row>
    <row r="6" ht="16" customHeight="1">
      <c r="A6" s="7" t="inlineStr">
        <is>
          <t>GM0772</t>
        </is>
      </c>
      <c r="B6" s="7" t="inlineStr">
        <is>
          <t>Eindhoven</t>
        </is>
      </c>
      <c r="C6" s="8" t="inlineStr">
        <is>
          <t>Noord-Brabant</t>
        </is>
      </c>
      <c r="D6" s="7" t="inlineStr">
        <is>
          <t>5%</t>
        </is>
      </c>
      <c r="E6" s="7" t="inlineStr">
        <is>
          <t>Verplicht</t>
        </is>
      </c>
      <c r="F6" s="7" t="n">
        <v>250000</v>
      </c>
      <c r="G6" s="8" t="inlineStr">
        <is>
          <t>Werken</t>
        </is>
      </c>
      <c r="H6" s="8" t="inlineStr">
        <is>
          <t>Kwartaal</t>
        </is>
      </c>
      <c r="I6" s="8" t="n">
        <v>680000000</v>
      </c>
      <c r="J6" s="8" t="inlineStr"/>
      <c r="K6" s="8" t="inlineStr"/>
      <c r="L6" s="8" t="inlineStr"/>
      <c r="M6" s="8" t="inlineStr"/>
      <c r="N6" s="8" t="inlineStr"/>
    </row>
    <row r="7" ht="16" customHeight="1">
      <c r="A7" s="7" t="inlineStr">
        <is>
          <t>GM0392</t>
        </is>
      </c>
      <c r="B7" s="7" t="inlineStr">
        <is>
          <t>Groningen</t>
        </is>
      </c>
      <c r="C7" s="8" t="inlineStr">
        <is>
          <t>Groningen</t>
        </is>
      </c>
      <c r="D7" s="7" t="inlineStr">
        <is>
          <t>5%</t>
        </is>
      </c>
      <c r="E7" s="7" t="inlineStr">
        <is>
          <t>Verplicht</t>
        </is>
      </c>
      <c r="F7" s="7" t="n">
        <v>250000</v>
      </c>
      <c r="G7" s="8" t="inlineStr">
        <is>
          <t>Werken, Diensten</t>
        </is>
      </c>
      <c r="H7" s="8" t="inlineStr">
        <is>
          <t>Kwartaal</t>
        </is>
      </c>
      <c r="I7" s="8" t="n">
        <v>560000000</v>
      </c>
      <c r="J7" s="8" t="inlineStr"/>
      <c r="K7" s="8" t="inlineStr"/>
      <c r="L7" s="8" t="inlineStr"/>
      <c r="M7" s="8" t="inlineStr"/>
      <c r="N7" s="8" t="inlineStr"/>
    </row>
    <row r="8" ht="16" customHeight="1">
      <c r="A8" s="7" t="inlineStr">
        <is>
          <t>GM0503</t>
        </is>
      </c>
      <c r="B8" s="7" t="inlineStr">
        <is>
          <t>Tilburg</t>
        </is>
      </c>
      <c r="C8" s="8" t="inlineStr">
        <is>
          <t>Noord-Brabant</t>
        </is>
      </c>
      <c r="D8" s="7" t="inlineStr">
        <is>
          <t>5%</t>
        </is>
      </c>
      <c r="E8" s="7" t="inlineStr">
        <is>
          <t>Verplicht</t>
        </is>
      </c>
      <c r="F8" s="7" t="n">
        <v>250000</v>
      </c>
      <c r="G8" s="8" t="inlineStr">
        <is>
          <t>Werken</t>
        </is>
      </c>
      <c r="H8" s="8" t="inlineStr">
        <is>
          <t>Kwartaal</t>
        </is>
      </c>
      <c r="I8" s="8" t="n">
        <v>480000000</v>
      </c>
      <c r="J8" s="8" t="inlineStr"/>
      <c r="K8" s="8" t="inlineStr"/>
      <c r="L8" s="8" t="inlineStr"/>
      <c r="M8" s="8" t="inlineStr"/>
      <c r="N8" s="8" t="inlineStr"/>
    </row>
    <row r="9" ht="16" customHeight="1">
      <c r="A9" s="7" t="inlineStr">
        <is>
          <t>GM0268</t>
        </is>
      </c>
      <c r="B9" s="7" t="inlineStr">
        <is>
          <t>Almere</t>
        </is>
      </c>
      <c r="C9" s="8" t="inlineStr">
        <is>
          <t>Flevoland</t>
        </is>
      </c>
      <c r="D9" s="7" t="inlineStr">
        <is>
          <t>5%</t>
        </is>
      </c>
      <c r="E9" s="7" t="inlineStr">
        <is>
          <t>Verplicht</t>
        </is>
      </c>
      <c r="F9" s="7" t="n">
        <v>250000</v>
      </c>
      <c r="G9" s="8" t="inlineStr">
        <is>
          <t>Werken, Diensten</t>
        </is>
      </c>
      <c r="H9" s="8" t="inlineStr">
        <is>
          <t>Kwartaal</t>
        </is>
      </c>
      <c r="I9" s="8" t="n">
        <v>420000000</v>
      </c>
      <c r="J9" s="8" t="inlineStr"/>
      <c r="K9" s="8" t="inlineStr"/>
      <c r="L9" s="8" t="inlineStr"/>
      <c r="M9" s="8" t="inlineStr"/>
      <c r="N9" s="8" t="inlineStr"/>
    </row>
    <row r="10" ht="16" customHeight="1">
      <c r="A10" s="7" t="inlineStr">
        <is>
          <t>GM0153</t>
        </is>
      </c>
      <c r="B10" s="7" t="inlineStr">
        <is>
          <t>Breda</t>
        </is>
      </c>
      <c r="C10" s="8" t="inlineStr">
        <is>
          <t>Noord-Brabant</t>
        </is>
      </c>
      <c r="D10" s="7" t="inlineStr">
        <is>
          <t>3%</t>
        </is>
      </c>
      <c r="E10" s="7" t="inlineStr">
        <is>
          <t>In ontwikkeling</t>
        </is>
      </c>
      <c r="F10" s="7" t="n">
        <v>500000</v>
      </c>
      <c r="G10" s="8" t="inlineStr">
        <is>
          <t>Werken</t>
        </is>
      </c>
      <c r="H10" s="8" t="inlineStr">
        <is>
          <t>Jaar</t>
        </is>
      </c>
      <c r="I10" s="8" t="n">
        <v>320000000</v>
      </c>
      <c r="J10" s="8" t="inlineStr"/>
      <c r="K10" s="8" t="inlineStr"/>
      <c r="L10" s="8" t="inlineStr"/>
      <c r="M10" s="8" t="inlineStr"/>
      <c r="N10" s="8" t="inlineStr"/>
    </row>
    <row r="11" ht="16" customHeight="1">
      <c r="A11" s="7" t="inlineStr">
        <is>
          <t>GM0243</t>
        </is>
      </c>
      <c r="B11" s="7" t="inlineStr">
        <is>
          <t>Nijmegen</t>
        </is>
      </c>
      <c r="C11" s="8" t="inlineStr">
        <is>
          <t>Gelderland</t>
        </is>
      </c>
      <c r="D11" s="7" t="inlineStr">
        <is>
          <t>5%</t>
        </is>
      </c>
      <c r="E11" s="7" t="inlineStr">
        <is>
          <t>Verplicht</t>
        </is>
      </c>
      <c r="F11" s="7" t="n">
        <v>250000</v>
      </c>
      <c r="G11" s="8" t="inlineStr">
        <is>
          <t>Werken, Diensten</t>
        </is>
      </c>
      <c r="H11" s="8" t="inlineStr">
        <is>
          <t>Kwartaal</t>
        </is>
      </c>
      <c r="I11" s="8" t="n">
        <v>350000000</v>
      </c>
      <c r="J11" s="8" t="inlineStr"/>
      <c r="K11" s="8" t="inlineStr"/>
      <c r="L11" s="8" t="inlineStr"/>
      <c r="M11" s="8" t="inlineStr"/>
      <c r="N11" s="8" t="inlineStr"/>
    </row>
    <row r="12" ht="16" customHeight="1">
      <c r="A12" s="7" t="inlineStr">
        <is>
          <t>GM0034</t>
        </is>
      </c>
      <c r="B12" s="7" t="inlineStr">
        <is>
          <t>Apeldoorn</t>
        </is>
      </c>
      <c r="C12" s="8" t="inlineStr">
        <is>
          <t>Gelderland</t>
        </is>
      </c>
      <c r="D12" s="7" t="inlineStr">
        <is>
          <t>5%</t>
        </is>
      </c>
      <c r="E12" s="7" t="inlineStr">
        <is>
          <t>Actief beleid</t>
        </is>
      </c>
      <c r="F12" s="7" t="n">
        <v>250000</v>
      </c>
      <c r="G12" s="8" t="inlineStr">
        <is>
          <t>Werken</t>
        </is>
      </c>
      <c r="H12" s="8" t="inlineStr">
        <is>
          <t>Jaar</t>
        </is>
      </c>
      <c r="I12" s="8" t="n">
        <v>280000000</v>
      </c>
      <c r="J12" s="8" t="inlineStr"/>
      <c r="K12" s="8" t="inlineStr"/>
      <c r="L12" s="8" t="inlineStr"/>
      <c r="M12" s="8" t="inlineStr"/>
      <c r="N12" s="8" t="inlineStr"/>
    </row>
    <row r="13" ht="16" customHeight="1">
      <c r="A13" s="7" t="inlineStr">
        <is>
          <t>GM0796</t>
        </is>
      </c>
      <c r="B13" s="7" t="inlineStr">
        <is>
          <t>Haarlem</t>
        </is>
      </c>
      <c r="C13" s="8" t="inlineStr">
        <is>
          <t>Noord-Holland</t>
        </is>
      </c>
      <c r="D13" s="7" t="inlineStr">
        <is>
          <t>5%</t>
        </is>
      </c>
      <c r="E13" s="7" t="inlineStr">
        <is>
          <t>Verplicht</t>
        </is>
      </c>
      <c r="F13" s="7" t="n">
        <v>250000</v>
      </c>
      <c r="G13" s="8" t="inlineStr">
        <is>
          <t>Werken, Diensten</t>
        </is>
      </c>
      <c r="H13" s="8" t="inlineStr">
        <is>
          <t>Kwartaal</t>
        </is>
      </c>
      <c r="I13" s="8" t="n">
        <v>310000000</v>
      </c>
      <c r="J13" s="8" t="inlineStr"/>
      <c r="K13" s="8" t="inlineStr"/>
      <c r="L13" s="8" t="inlineStr"/>
      <c r="M13" s="8" t="inlineStr"/>
      <c r="N13" s="8" t="inlineStr"/>
    </row>
    <row r="14" ht="16" customHeight="1">
      <c r="A14" s="7" t="inlineStr">
        <is>
          <t>GM0060</t>
        </is>
      </c>
      <c r="B14" s="7" t="inlineStr">
        <is>
          <t>Arnhem</t>
        </is>
      </c>
      <c r="C14" s="8" t="inlineStr">
        <is>
          <t>Gelderland</t>
        </is>
      </c>
      <c r="D14" s="7" t="inlineStr">
        <is>
          <t>5%</t>
        </is>
      </c>
      <c r="E14" s="7" t="inlineStr">
        <is>
          <t>Verplicht</t>
        </is>
      </c>
      <c r="F14" s="7" t="n">
        <v>250000</v>
      </c>
      <c r="G14" s="8" t="inlineStr">
        <is>
          <t>Werken, Diensten</t>
        </is>
      </c>
      <c r="H14" s="8" t="inlineStr">
        <is>
          <t>Kwartaal</t>
        </is>
      </c>
      <c r="I14" s="8" t="n">
        <v>380000000</v>
      </c>
      <c r="J14" s="8" t="inlineStr"/>
      <c r="K14" s="8" t="inlineStr"/>
      <c r="L14" s="8" t="inlineStr"/>
      <c r="M14" s="8" t="inlineStr"/>
      <c r="N14" s="8" t="inlineStr"/>
    </row>
    <row r="15" ht="16" customHeight="1">
      <c r="A15" s="7" t="inlineStr">
        <is>
          <t>GM0394</t>
        </is>
      </c>
      <c r="B15" s="7" t="inlineStr">
        <is>
          <t>Enschede</t>
        </is>
      </c>
      <c r="C15" s="8" t="inlineStr">
        <is>
          <t>Overijssel</t>
        </is>
      </c>
      <c r="D15" s="7" t="inlineStr">
        <is>
          <t>5%</t>
        </is>
      </c>
      <c r="E15" s="7" t="inlineStr">
        <is>
          <t>Verplicht</t>
        </is>
      </c>
      <c r="F15" s="7" t="n">
        <v>250000</v>
      </c>
      <c r="G15" s="8" t="inlineStr">
        <is>
          <t>Werken, Diensten</t>
        </is>
      </c>
      <c r="H15" s="8" t="inlineStr">
        <is>
          <t>Kwartaal</t>
        </is>
      </c>
      <c r="I15" s="8" t="n">
        <v>360000000</v>
      </c>
      <c r="J15" s="8" t="inlineStr"/>
      <c r="K15" s="8" t="inlineStr"/>
      <c r="L15" s="8" t="inlineStr"/>
      <c r="M15" s="8" t="inlineStr"/>
      <c r="N15" s="8" t="inlineStr"/>
    </row>
    <row r="16" ht="16" customHeight="1">
      <c r="A16" s="7" t="inlineStr">
        <is>
          <t>GM0882</t>
        </is>
      </c>
      <c r="B16" s="7" t="inlineStr">
        <is>
          <t>Haarlemmermeer</t>
        </is>
      </c>
      <c r="C16" s="8" t="inlineStr">
        <is>
          <t>Noord-Holland</t>
        </is>
      </c>
      <c r="D16" s="7" t="inlineStr">
        <is>
          <t>5%</t>
        </is>
      </c>
      <c r="E16" s="7" t="inlineStr">
        <is>
          <t>Actief beleid</t>
        </is>
      </c>
      <c r="F16" s="7" t="n">
        <v>500000</v>
      </c>
      <c r="G16" s="8" t="inlineStr">
        <is>
          <t>Werken</t>
        </is>
      </c>
      <c r="H16" s="8" t="inlineStr">
        <is>
          <t>Jaar</t>
        </is>
      </c>
      <c r="I16" s="8" t="n">
        <v>240000000</v>
      </c>
      <c r="J16" s="8" t="inlineStr"/>
      <c r="K16" s="8" t="inlineStr"/>
      <c r="L16" s="8" t="inlineStr"/>
      <c r="M16" s="8" t="inlineStr"/>
      <c r="N16" s="8" t="inlineStr"/>
    </row>
    <row r="17" ht="16" customHeight="1">
      <c r="A17" s="7" t="inlineStr">
        <is>
          <t>GM0797</t>
        </is>
      </c>
      <c r="B17" s="7" t="inlineStr">
        <is>
          <t>'s-Hertogenbosch</t>
        </is>
      </c>
      <c r="C17" s="8" t="inlineStr">
        <is>
          <t>Noord-Brabant</t>
        </is>
      </c>
      <c r="D17" s="7" t="inlineStr">
        <is>
          <t>5%</t>
        </is>
      </c>
      <c r="E17" s="7" t="inlineStr">
        <is>
          <t>Actief beleid</t>
        </is>
      </c>
      <c r="F17" s="7" t="n">
        <v>250000</v>
      </c>
      <c r="G17" s="8" t="inlineStr">
        <is>
          <t>Werken</t>
        </is>
      </c>
      <c r="H17" s="8" t="inlineStr">
        <is>
          <t>Jaar</t>
        </is>
      </c>
      <c r="I17" s="8" t="n">
        <v>410000000</v>
      </c>
      <c r="J17" s="8" t="inlineStr"/>
      <c r="K17" s="8" t="inlineStr"/>
      <c r="L17" s="8" t="inlineStr"/>
      <c r="M17" s="8" t="inlineStr"/>
      <c r="N17" s="8" t="inlineStr"/>
    </row>
    <row r="18" ht="16" customHeight="1">
      <c r="A18" s="7" t="inlineStr">
        <is>
          <t>GM0867</t>
        </is>
      </c>
      <c r="B18" s="7" t="inlineStr">
        <is>
          <t>Zwolle</t>
        </is>
      </c>
      <c r="C18" s="8" t="inlineStr">
        <is>
          <t>Overijssel</t>
        </is>
      </c>
      <c r="D18" s="7" t="inlineStr">
        <is>
          <t>5%</t>
        </is>
      </c>
      <c r="E18" s="7" t="inlineStr">
        <is>
          <t>Verplicht</t>
        </is>
      </c>
      <c r="F18" s="7" t="n">
        <v>250000</v>
      </c>
      <c r="G18" s="8" t="inlineStr">
        <is>
          <t>Werken, Diensten</t>
        </is>
      </c>
      <c r="H18" s="8" t="inlineStr">
        <is>
          <t>Kwartaal</t>
        </is>
      </c>
      <c r="I18" s="8" t="n">
        <v>260000000</v>
      </c>
      <c r="J18" s="8" t="inlineStr"/>
      <c r="K18" s="8" t="inlineStr"/>
      <c r="L18" s="8" t="inlineStr"/>
      <c r="M18" s="8" t="inlineStr"/>
      <c r="N18" s="8" t="inlineStr"/>
    </row>
    <row r="19" ht="16" customHeight="1">
      <c r="A19" s="7" t="inlineStr">
        <is>
          <t>GM0050</t>
        </is>
      </c>
      <c r="B19" s="7" t="inlineStr">
        <is>
          <t>Amersfoort</t>
        </is>
      </c>
      <c r="C19" s="8" t="inlineStr">
        <is>
          <t>Utrecht</t>
        </is>
      </c>
      <c r="D19" s="7" t="inlineStr">
        <is>
          <t>5%</t>
        </is>
      </c>
      <c r="E19" s="7" t="inlineStr">
        <is>
          <t>Verplicht</t>
        </is>
      </c>
      <c r="F19" s="7" t="n">
        <v>250000</v>
      </c>
      <c r="G19" s="8" t="inlineStr">
        <is>
          <t>Werken, Diensten</t>
        </is>
      </c>
      <c r="H19" s="8" t="inlineStr">
        <is>
          <t>Kwartaal</t>
        </is>
      </c>
      <c r="I19" s="8" t="n">
        <v>290000000</v>
      </c>
      <c r="J19" s="8" t="inlineStr"/>
      <c r="K19" s="8" t="inlineStr"/>
      <c r="L19" s="8" t="inlineStr"/>
      <c r="M19" s="8" t="inlineStr"/>
      <c r="N19" s="8" t="inlineStr"/>
    </row>
    <row r="20" ht="16" customHeight="1">
      <c r="A20" s="7" t="inlineStr">
        <is>
          <t>GM0200</t>
        </is>
      </c>
      <c r="B20" s="7" t="inlineStr">
        <is>
          <t>Zoetermeer</t>
        </is>
      </c>
      <c r="C20" s="8" t="inlineStr">
        <is>
          <t>Zuid-Holland</t>
        </is>
      </c>
      <c r="D20" s="7" t="inlineStr">
        <is>
          <t>5%</t>
        </is>
      </c>
      <c r="E20" s="7" t="inlineStr">
        <is>
          <t>Actief beleid</t>
        </is>
      </c>
      <c r="F20" s="7" t="n">
        <v>250000</v>
      </c>
      <c r="G20" s="8" t="inlineStr">
        <is>
          <t>Werken</t>
        </is>
      </c>
      <c r="H20" s="8" t="inlineStr">
        <is>
          <t>Jaar</t>
        </is>
      </c>
      <c r="I20" s="8" t="n">
        <v>220000000</v>
      </c>
      <c r="J20" s="8" t="inlineStr"/>
      <c r="K20" s="8" t="inlineStr"/>
      <c r="L20" s="8" t="inlineStr"/>
      <c r="M20" s="8" t="inlineStr"/>
      <c r="N20" s="8" t="inlineStr"/>
    </row>
    <row r="21" ht="16" customHeight="1">
      <c r="A21" s="7" t="inlineStr">
        <is>
          <t>GM0626</t>
        </is>
      </c>
      <c r="B21" s="7" t="inlineStr">
        <is>
          <t>Maastricht</t>
        </is>
      </c>
      <c r="C21" s="8" t="inlineStr">
        <is>
          <t>Limburg</t>
        </is>
      </c>
      <c r="D21" s="7" t="inlineStr">
        <is>
          <t>5%</t>
        </is>
      </c>
      <c r="E21" s="7" t="inlineStr">
        <is>
          <t>Verplicht</t>
        </is>
      </c>
      <c r="F21" s="7" t="n">
        <v>250000</v>
      </c>
      <c r="G21" s="8" t="inlineStr">
        <is>
          <t>Werken, Diensten</t>
        </is>
      </c>
      <c r="H21" s="8" t="inlineStr">
        <is>
          <t>Kwartaal</t>
        </is>
      </c>
      <c r="I21" s="8" t="n">
        <v>240000000</v>
      </c>
      <c r="J21" s="8" t="inlineStr"/>
      <c r="K21" s="8" t="inlineStr"/>
      <c r="L21" s="8" t="inlineStr"/>
      <c r="M21" s="8" t="inlineStr"/>
      <c r="N21" s="8" t="inlineStr"/>
    </row>
    <row r="22" ht="16" customHeight="1">
      <c r="A22" s="7" t="inlineStr">
        <is>
          <t>GM0302</t>
        </is>
      </c>
      <c r="B22" s="7" t="inlineStr">
        <is>
          <t>Leiden</t>
        </is>
      </c>
      <c r="C22" s="8" t="inlineStr">
        <is>
          <t>Zuid-Holland</t>
        </is>
      </c>
      <c r="D22" s="7" t="inlineStr">
        <is>
          <t>5%</t>
        </is>
      </c>
      <c r="E22" s="7" t="inlineStr">
        <is>
          <t>Verplicht</t>
        </is>
      </c>
      <c r="F22" s="7" t="n">
        <v>250000</v>
      </c>
      <c r="G22" s="8" t="inlineStr">
        <is>
          <t>Werken, Diensten</t>
        </is>
      </c>
      <c r="H22" s="8" t="inlineStr">
        <is>
          <t>Kwartaal</t>
        </is>
      </c>
      <c r="I22" s="8" t="n">
        <v>230000000</v>
      </c>
      <c r="J22" s="8" t="inlineStr"/>
      <c r="K22" s="8" t="inlineStr"/>
      <c r="L22" s="8" t="inlineStr"/>
      <c r="M22" s="8" t="inlineStr"/>
      <c r="N22" s="8" t="inlineStr"/>
    </row>
    <row r="23" ht="16" customHeight="1">
      <c r="A23" s="7" t="inlineStr">
        <is>
          <t>GM0484</t>
        </is>
      </c>
      <c r="B23" s="7" t="inlineStr">
        <is>
          <t>Dordrecht</t>
        </is>
      </c>
      <c r="C23" s="8" t="inlineStr">
        <is>
          <t>Zuid-Holland</t>
        </is>
      </c>
      <c r="D23" s="7" t="inlineStr">
        <is>
          <t>5%</t>
        </is>
      </c>
      <c r="E23" s="7" t="inlineStr">
        <is>
          <t>Verplicht</t>
        </is>
      </c>
      <c r="F23" s="7" t="n">
        <v>250000</v>
      </c>
      <c r="G23" s="8" t="inlineStr">
        <is>
          <t>Werken, Diensten</t>
        </is>
      </c>
      <c r="H23" s="8" t="inlineStr">
        <is>
          <t>Kwartaal</t>
        </is>
      </c>
      <c r="I23" s="8" t="n">
        <v>210000000</v>
      </c>
      <c r="J23" s="8" t="inlineStr"/>
      <c r="K23" s="8" t="inlineStr"/>
      <c r="L23" s="8" t="inlineStr"/>
      <c r="M23" s="8" t="inlineStr"/>
      <c r="N23" s="8" t="inlineStr"/>
    </row>
    <row r="24" ht="16" customHeight="1">
      <c r="A24" s="7" t="inlineStr">
        <is>
          <t>GM0307</t>
        </is>
      </c>
      <c r="B24" s="7" t="inlineStr">
        <is>
          <t>Westland</t>
        </is>
      </c>
      <c r="C24" s="8" t="inlineStr">
        <is>
          <t>Zuid-Holland</t>
        </is>
      </c>
      <c r="D24" s="7" t="inlineStr">
        <is>
          <t>3%</t>
        </is>
      </c>
      <c r="E24" s="7" t="inlineStr">
        <is>
          <t>In ontwikkeling</t>
        </is>
      </c>
      <c r="F24" s="7" t="n">
        <v>500000</v>
      </c>
      <c r="G24" s="8" t="inlineStr">
        <is>
          <t>Werken</t>
        </is>
      </c>
      <c r="H24" s="8" t="inlineStr">
        <is>
          <t>Jaar</t>
        </is>
      </c>
      <c r="I24" s="8" t="n">
        <v>140000000</v>
      </c>
      <c r="J24" s="8" t="inlineStr"/>
      <c r="K24" s="8" t="inlineStr"/>
      <c r="L24" s="8" t="inlineStr"/>
      <c r="M24" s="8" t="inlineStr"/>
      <c r="N24" s="8" t="inlineStr"/>
    </row>
    <row r="25" ht="16" customHeight="1">
      <c r="A25" s="7" t="inlineStr">
        <is>
          <t>GM0080</t>
        </is>
      </c>
      <c r="B25" s="7" t="inlineStr">
        <is>
          <t>Deventer</t>
        </is>
      </c>
      <c r="C25" s="8" t="inlineStr">
        <is>
          <t>Overijssel</t>
        </is>
      </c>
      <c r="D25" s="7" t="inlineStr">
        <is>
          <t>5%</t>
        </is>
      </c>
      <c r="E25" s="7" t="inlineStr">
        <is>
          <t>Actief beleid</t>
        </is>
      </c>
      <c r="F25" s="7" t="n">
        <v>250000</v>
      </c>
      <c r="G25" s="8" t="inlineStr">
        <is>
          <t>Werken</t>
        </is>
      </c>
      <c r="H25" s="8" t="inlineStr">
        <is>
          <t>Jaar</t>
        </is>
      </c>
      <c r="I25" s="8" t="n">
        <v>190000000</v>
      </c>
      <c r="J25" s="8" t="inlineStr"/>
      <c r="K25" s="8" t="inlineStr"/>
      <c r="L25" s="8" t="inlineStr"/>
      <c r="M25" s="8" t="inlineStr"/>
      <c r="N25" s="8" t="inlineStr"/>
    </row>
    <row r="26" ht="16" customHeight="1">
      <c r="A26" s="7" t="inlineStr">
        <is>
          <t>GM0632</t>
        </is>
      </c>
      <c r="B26" s="7" t="inlineStr">
        <is>
          <t>Sittard-Geleen</t>
        </is>
      </c>
      <c r="C26" s="8" t="inlineStr">
        <is>
          <t>Limburg</t>
        </is>
      </c>
      <c r="D26" s="7" t="inlineStr">
        <is>
          <t>5%</t>
        </is>
      </c>
      <c r="E26" s="7" t="inlineStr">
        <is>
          <t>Actief beleid</t>
        </is>
      </c>
      <c r="F26" s="7" t="n">
        <v>250000</v>
      </c>
      <c r="G26" s="8" t="inlineStr">
        <is>
          <t>Werken</t>
        </is>
      </c>
      <c r="H26" s="8" t="inlineStr">
        <is>
          <t>Jaar</t>
        </is>
      </c>
      <c r="I26" s="8" t="n">
        <v>175000000</v>
      </c>
      <c r="J26" s="8" t="inlineStr"/>
      <c r="K26" s="8" t="inlineStr"/>
      <c r="L26" s="8" t="inlineStr"/>
      <c r="M26" s="8" t="inlineStr"/>
      <c r="N26" s="8" t="inlineStr"/>
    </row>
    <row r="27" ht="16" customHeight="1">
      <c r="A27" s="9" t="inlineStr"/>
      <c r="B27" s="9" t="inlineStr"/>
      <c r="C27" s="10" t="inlineStr"/>
      <c r="D27" s="9" t="inlineStr"/>
      <c r="E27" s="9" t="inlineStr"/>
      <c r="F27" s="9" t="inlineStr"/>
      <c r="G27" s="10" t="inlineStr"/>
      <c r="H27" s="10" t="inlineStr"/>
      <c r="I27" s="10" t="inlineStr"/>
      <c r="J27" s="10" t="inlineStr"/>
      <c r="K27" s="10" t="inlineStr"/>
      <c r="L27" s="10" t="inlineStr"/>
      <c r="M27" s="10" t="inlineStr"/>
      <c r="N27" s="10" t="inlineStr"/>
    </row>
    <row r="28" ht="16" customHeight="1">
      <c r="A28" s="9" t="inlineStr"/>
      <c r="B28" s="9" t="inlineStr"/>
      <c r="C28" s="10" t="inlineStr"/>
      <c r="D28" s="9" t="inlineStr"/>
      <c r="E28" s="9" t="inlineStr"/>
      <c r="F28" s="9" t="inlineStr"/>
      <c r="G28" s="10" t="inlineStr"/>
      <c r="H28" s="10" t="inlineStr"/>
      <c r="I28" s="10" t="inlineStr"/>
      <c r="J28" s="10" t="inlineStr"/>
      <c r="K28" s="10" t="inlineStr"/>
      <c r="L28" s="10" t="inlineStr"/>
      <c r="M28" s="10" t="inlineStr"/>
      <c r="N28" s="10" t="inlineStr"/>
    </row>
    <row r="29" ht="16" customHeight="1">
      <c r="A29" s="9" t="inlineStr"/>
      <c r="B29" s="9" t="inlineStr"/>
      <c r="C29" s="10" t="inlineStr"/>
      <c r="D29" s="9" t="inlineStr"/>
      <c r="E29" s="9" t="inlineStr"/>
      <c r="F29" s="9" t="inlineStr"/>
      <c r="G29" s="10" t="inlineStr"/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</row>
    <row r="30" ht="16" customHeight="1">
      <c r="A30" s="9" t="inlineStr"/>
      <c r="B30" s="9" t="inlineStr"/>
      <c r="C30" s="10" t="inlineStr"/>
      <c r="D30" s="9" t="inlineStr"/>
      <c r="E30" s="9" t="inlineStr"/>
      <c r="F30" s="9" t="inlineStr"/>
      <c r="G30" s="10" t="inlineStr"/>
      <c r="H30" s="10" t="inlineStr"/>
      <c r="I30" s="10" t="inlineStr"/>
      <c r="J30" s="10" t="inlineStr"/>
      <c r="K30" s="10" t="inlineStr"/>
      <c r="L30" s="10" t="inlineStr"/>
      <c r="M30" s="10" t="inlineStr"/>
      <c r="N30" s="10" t="inlineStr"/>
    </row>
    <row r="31" ht="16" customHeight="1">
      <c r="A31" s="9" t="inlineStr"/>
      <c r="B31" s="9" t="inlineStr"/>
      <c r="C31" s="10" t="inlineStr"/>
      <c r="D31" s="9" t="inlineStr"/>
      <c r="E31" s="9" t="inlineStr"/>
      <c r="F31" s="9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</row>
    <row r="32" ht="16" customHeight="1">
      <c r="A32" s="9" t="inlineStr"/>
      <c r="B32" s="9" t="inlineStr"/>
      <c r="C32" s="10" t="inlineStr"/>
      <c r="D32" s="9" t="inlineStr"/>
      <c r="E32" s="9" t="inlineStr"/>
      <c r="F32" s="9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</row>
    <row r="33" ht="16" customHeight="1">
      <c r="A33" s="9" t="inlineStr"/>
      <c r="B33" s="9" t="inlineStr"/>
      <c r="C33" s="10" t="inlineStr"/>
      <c r="D33" s="9" t="inlineStr"/>
      <c r="E33" s="9" t="inlineStr"/>
      <c r="F33" s="9" t="inlineStr"/>
      <c r="G33" s="10" t="inlineStr"/>
      <c r="H33" s="10" t="inlineStr"/>
      <c r="I33" s="10" t="inlineStr"/>
      <c r="J33" s="10" t="inlineStr"/>
      <c r="K33" s="10" t="inlineStr"/>
      <c r="L33" s="10" t="inlineStr"/>
      <c r="M33" s="10" t="inlineStr"/>
      <c r="N33" s="10" t="inlineStr"/>
    </row>
    <row r="34" ht="16" customHeight="1">
      <c r="A34" s="9" t="inlineStr"/>
      <c r="B34" s="9" t="inlineStr"/>
      <c r="C34" s="10" t="inlineStr"/>
      <c r="D34" s="9" t="inlineStr"/>
      <c r="E34" s="9" t="inlineStr"/>
      <c r="F34" s="9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</row>
    <row r="35" ht="16" customHeight="1">
      <c r="A35" s="9" t="inlineStr"/>
      <c r="B35" s="9" t="inlineStr"/>
      <c r="C35" s="10" t="inlineStr"/>
      <c r="D35" s="9" t="inlineStr"/>
      <c r="E35" s="9" t="inlineStr"/>
      <c r="F35" s="9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</row>
    <row r="36" ht="16" customHeight="1">
      <c r="A36" s="9" t="inlineStr"/>
      <c r="B36" s="9" t="inlineStr"/>
      <c r="C36" s="10" t="inlineStr"/>
      <c r="D36" s="9" t="inlineStr"/>
      <c r="E36" s="9" t="inlineStr"/>
      <c r="F36" s="9" t="inlineStr"/>
      <c r="G36" s="10" t="inlineStr"/>
      <c r="H36" s="10" t="inlineStr"/>
      <c r="I36" s="10" t="inlineStr"/>
      <c r="J36" s="10" t="inlineStr"/>
      <c r="K36" s="10" t="inlineStr"/>
      <c r="L36" s="10" t="inlineStr"/>
      <c r="M36" s="10" t="inlineStr"/>
      <c r="N36" s="10" t="inlineStr"/>
    </row>
    <row r="37" ht="16" customHeight="1">
      <c r="A37" s="9" t="inlineStr"/>
      <c r="B37" s="9" t="inlineStr"/>
      <c r="C37" s="10" t="inlineStr"/>
      <c r="D37" s="9" t="inlineStr"/>
      <c r="E37" s="9" t="inlineStr"/>
      <c r="F37" s="9" t="inlineStr"/>
      <c r="G37" s="10" t="inlineStr"/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</row>
    <row r="38" ht="16" customHeight="1">
      <c r="A38" s="9" t="inlineStr"/>
      <c r="B38" s="9" t="inlineStr"/>
      <c r="C38" s="10" t="inlineStr"/>
      <c r="D38" s="9" t="inlineStr"/>
      <c r="E38" s="9" t="inlineStr"/>
      <c r="F38" s="9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</row>
    <row r="39" ht="16" customHeight="1">
      <c r="A39" s="9" t="inlineStr"/>
      <c r="B39" s="9" t="inlineStr"/>
      <c r="C39" s="10" t="inlineStr"/>
      <c r="D39" s="9" t="inlineStr"/>
      <c r="E39" s="9" t="inlineStr"/>
      <c r="F39" s="9" t="inlineStr"/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</row>
    <row r="40" ht="16" customHeight="1">
      <c r="A40" s="9" t="inlineStr"/>
      <c r="B40" s="9" t="inlineStr"/>
      <c r="C40" s="10" t="inlineStr"/>
      <c r="D40" s="9" t="inlineStr"/>
      <c r="E40" s="9" t="inlineStr"/>
      <c r="F40" s="9" t="inlineStr"/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</row>
    <row r="41" ht="16" customHeight="1">
      <c r="A41" s="9" t="inlineStr"/>
      <c r="B41" s="9" t="inlineStr"/>
      <c r="C41" s="10" t="inlineStr"/>
      <c r="D41" s="9" t="inlineStr"/>
      <c r="E41" s="9" t="inlineStr"/>
      <c r="F41" s="9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</row>
    <row r="42" ht="16" customHeight="1">
      <c r="A42" s="9" t="inlineStr"/>
      <c r="B42" s="9" t="inlineStr"/>
      <c r="C42" s="10" t="inlineStr"/>
      <c r="D42" s="9" t="inlineStr"/>
      <c r="E42" s="9" t="inlineStr"/>
      <c r="F42" s="9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</row>
    <row r="43" ht="16" customHeight="1">
      <c r="A43" s="9" t="inlineStr"/>
      <c r="B43" s="9" t="inlineStr"/>
      <c r="C43" s="10" t="inlineStr"/>
      <c r="D43" s="9" t="inlineStr"/>
      <c r="E43" s="9" t="inlineStr"/>
      <c r="F43" s="9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</row>
    <row r="44" ht="16" customHeight="1">
      <c r="A44" s="9" t="inlineStr"/>
      <c r="B44" s="9" t="inlineStr"/>
      <c r="C44" s="10" t="inlineStr"/>
      <c r="D44" s="9" t="inlineStr"/>
      <c r="E44" s="9" t="inlineStr"/>
      <c r="F44" s="9" t="inlineStr"/>
      <c r="G44" s="10" t="inlineStr"/>
      <c r="H44" s="10" t="inlineStr"/>
      <c r="I44" s="10" t="inlineStr"/>
      <c r="J44" s="10" t="inlineStr"/>
      <c r="K44" s="10" t="inlineStr"/>
      <c r="L44" s="10" t="inlineStr"/>
      <c r="M44" s="10" t="inlineStr"/>
      <c r="N44" s="10" t="inlineStr"/>
    </row>
    <row r="45" ht="16" customHeight="1">
      <c r="A45" s="9" t="inlineStr"/>
      <c r="B45" s="9" t="inlineStr"/>
      <c r="C45" s="10" t="inlineStr"/>
      <c r="D45" s="9" t="inlineStr"/>
      <c r="E45" s="9" t="inlineStr"/>
      <c r="F45" s="9" t="inlineStr"/>
      <c r="G45" s="10" t="inlineStr"/>
      <c r="H45" s="10" t="inlineStr"/>
      <c r="I45" s="10" t="inlineStr"/>
      <c r="J45" s="10" t="inlineStr"/>
      <c r="K45" s="10" t="inlineStr"/>
      <c r="L45" s="10" t="inlineStr"/>
      <c r="M45" s="10" t="inlineStr"/>
      <c r="N45" s="10" t="inlineStr"/>
    </row>
    <row r="46" ht="16" customHeight="1">
      <c r="A46" s="9" t="inlineStr"/>
      <c r="B46" s="9" t="inlineStr"/>
      <c r="C46" s="10" t="inlineStr"/>
      <c r="D46" s="9" t="inlineStr"/>
      <c r="E46" s="9" t="inlineStr"/>
      <c r="F46" s="9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</row>
    <row r="47" ht="16" customHeight="1">
      <c r="A47" s="9" t="inlineStr"/>
      <c r="B47" s="9" t="inlineStr"/>
      <c r="C47" s="10" t="inlineStr"/>
      <c r="D47" s="9" t="inlineStr"/>
      <c r="E47" s="9" t="inlineStr"/>
      <c r="F47" s="9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</row>
    <row r="48" ht="16" customHeight="1">
      <c r="A48" s="9" t="inlineStr"/>
      <c r="B48" s="9" t="inlineStr"/>
      <c r="C48" s="10" t="inlineStr"/>
      <c r="D48" s="9" t="inlineStr"/>
      <c r="E48" s="9" t="inlineStr"/>
      <c r="F48" s="9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</row>
    <row r="49" ht="16" customHeight="1">
      <c r="A49" s="9" t="inlineStr"/>
      <c r="B49" s="9" t="inlineStr"/>
      <c r="C49" s="10" t="inlineStr"/>
      <c r="D49" s="9" t="inlineStr"/>
      <c r="E49" s="9" t="inlineStr"/>
      <c r="F49" s="9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</row>
    <row r="50" ht="16" customHeight="1">
      <c r="A50" s="9" t="inlineStr"/>
      <c r="B50" s="9" t="inlineStr"/>
      <c r="C50" s="10" t="inlineStr"/>
      <c r="D50" s="9" t="inlineStr"/>
      <c r="E50" s="9" t="inlineStr"/>
      <c r="F50" s="9" t="inlineStr"/>
      <c r="G50" s="10" t="inlineStr"/>
      <c r="H50" s="10" t="inlineStr"/>
      <c r="I50" s="10" t="inlineStr"/>
      <c r="J50" s="10" t="inlineStr"/>
      <c r="K50" s="10" t="inlineStr"/>
      <c r="L50" s="10" t="inlineStr"/>
      <c r="M50" s="10" t="inlineStr"/>
      <c r="N50" s="10" t="inlineStr"/>
    </row>
    <row r="51" ht="16" customHeight="1">
      <c r="A51" s="9" t="inlineStr"/>
      <c r="B51" s="9" t="inlineStr"/>
      <c r="C51" s="10" t="inlineStr"/>
      <c r="D51" s="9" t="inlineStr"/>
      <c r="E51" s="9" t="inlineStr"/>
      <c r="F51" s="9" t="inlineStr"/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0" customWidth="1" min="11" max="11"/>
    <col width="18" customWidth="1" min="12" max="12"/>
  </cols>
  <sheetData>
    <row r="1" ht="36" customHeight="1">
      <c r="A1" s="11" t="inlineStr">
        <is>
          <t>GM-code</t>
        </is>
      </c>
      <c r="B1" s="11" t="inlineStr">
        <is>
          <t>Gemeente</t>
        </is>
      </c>
      <c r="C1" s="11" t="inlineStr">
        <is>
          <t>Werkl. %</t>
        </is>
      </c>
      <c r="D1" s="11" t="inlineStr">
        <is>
          <t>Bijstand</t>
        </is>
      </c>
      <c r="E1" s="11" t="inlineStr">
        <is>
          <t>NUGGERS</t>
        </is>
      </c>
      <c r="F1" s="11" t="inlineStr">
        <is>
          <t>Statushouders</t>
        </is>
      </c>
      <c r="G1" s="11" t="inlineStr">
        <is>
          <t>VSV</t>
        </is>
      </c>
      <c r="H1" s="11" t="inlineStr">
        <is>
          <t>Arbeidsbep.</t>
        </is>
      </c>
      <c r="I1" s="11" t="inlineStr">
        <is>
          <t>55+ z.w.</t>
        </is>
      </c>
      <c r="J1" s="11" t="inlineStr">
        <is>
          <t>Totaal pot.</t>
        </is>
      </c>
      <c r="K1" s="11" t="inlineStr">
        <is>
          <t>Inwoners</t>
        </is>
      </c>
      <c r="L1" s="11" t="inlineStr">
        <is>
          <t>Bron/peildatum</t>
        </is>
      </c>
    </row>
    <row r="2" ht="16" customHeight="1">
      <c r="A2" s="7" t="inlineStr">
        <is>
          <t>GM0363</t>
        </is>
      </c>
      <c r="B2" s="7" t="inlineStr">
        <is>
          <t>Amsterdam</t>
        </is>
      </c>
      <c r="C2" s="8" t="n">
        <v>6.8</v>
      </c>
      <c r="D2" s="8" t="n">
        <v>31200</v>
      </c>
      <c r="E2" s="8" t="n">
        <v>11000</v>
      </c>
      <c r="F2" s="8" t="n">
        <v>5800</v>
      </c>
      <c r="G2" s="8" t="n">
        <v>2400</v>
      </c>
      <c r="H2" s="8" t="n">
        <v>7100</v>
      </c>
      <c r="I2" s="8" t="n">
        <v>4200</v>
      </c>
      <c r="J2" s="8">
        <f>SUM(D2:I2)</f>
        <v/>
      </c>
      <c r="K2" s="8" t="n">
        <v>921000</v>
      </c>
      <c r="L2" s="8" t="inlineStr">
        <is>
          <t>CBS Statline 2024</t>
        </is>
      </c>
    </row>
    <row r="3" ht="16" customHeight="1">
      <c r="A3" s="7" t="inlineStr">
        <is>
          <t>GM0599</t>
        </is>
      </c>
      <c r="B3" s="7" t="inlineStr">
        <is>
          <t>Rotterdam</t>
        </is>
      </c>
      <c r="C3" s="8" t="n">
        <v>9.1</v>
      </c>
      <c r="D3" s="8" t="n">
        <v>28400</v>
      </c>
      <c r="E3" s="8" t="n">
        <v>9200</v>
      </c>
      <c r="F3" s="8" t="n">
        <v>4100</v>
      </c>
      <c r="G3" s="8" t="n">
        <v>1850</v>
      </c>
      <c r="H3" s="8" t="n">
        <v>6300</v>
      </c>
      <c r="I3" s="8" t="n">
        <v>3700</v>
      </c>
      <c r="J3" s="8">
        <f>SUM(D3:I3)</f>
        <v/>
      </c>
      <c r="K3" s="8" t="n">
        <v>661000</v>
      </c>
      <c r="L3" s="8" t="inlineStr">
        <is>
          <t>CBS Statline 2024</t>
        </is>
      </c>
    </row>
    <row r="4" ht="16" customHeight="1">
      <c r="A4" s="7" t="inlineStr">
        <is>
          <t>GM0518</t>
        </is>
      </c>
      <c r="B4" s="7" t="inlineStr">
        <is>
          <t>Den Haag</t>
        </is>
      </c>
      <c r="C4" s="8" t="n">
        <v>7.2</v>
      </c>
      <c r="D4" s="8" t="n">
        <v>25400</v>
      </c>
      <c r="E4" s="8" t="n">
        <v>8500</v>
      </c>
      <c r="F4" s="8" t="n">
        <v>4900</v>
      </c>
      <c r="G4" s="8" t="n">
        <v>1950</v>
      </c>
      <c r="H4" s="8" t="n">
        <v>5800</v>
      </c>
      <c r="I4" s="8" t="n">
        <v>3400</v>
      </c>
      <c r="J4" s="8">
        <f>SUM(D4:I4)</f>
        <v/>
      </c>
      <c r="K4" s="8" t="n">
        <v>548000</v>
      </c>
      <c r="L4" s="8" t="inlineStr">
        <is>
          <t>CBS Statline 2024</t>
        </is>
      </c>
    </row>
    <row r="5" ht="16" customHeight="1">
      <c r="A5" s="7" t="inlineStr">
        <is>
          <t>GM0344</t>
        </is>
      </c>
      <c r="B5" s="7" t="inlineStr">
        <is>
          <t>Utrecht</t>
        </is>
      </c>
      <c r="C5" s="8" t="n">
        <v>4.2</v>
      </c>
      <c r="D5" s="8" t="n">
        <v>9800</v>
      </c>
      <c r="E5" s="8" t="n">
        <v>3100</v>
      </c>
      <c r="F5" s="8" t="n">
        <v>1900</v>
      </c>
      <c r="G5" s="8" t="n">
        <v>780</v>
      </c>
      <c r="H5" s="8" t="n">
        <v>2900</v>
      </c>
      <c r="I5" s="8" t="n">
        <v>1600</v>
      </c>
      <c r="J5" s="8">
        <f>SUM(D5:I5)</f>
        <v/>
      </c>
      <c r="K5" s="8" t="n">
        <v>368000</v>
      </c>
      <c r="L5" s="8" t="inlineStr">
        <is>
          <t>CBS Statline 2024</t>
        </is>
      </c>
    </row>
    <row r="6" ht="16" customHeight="1">
      <c r="A6" s="7" t="inlineStr">
        <is>
          <t>GM0772</t>
        </is>
      </c>
      <c r="B6" s="7" t="inlineStr">
        <is>
          <t>Eindhoven</t>
        </is>
      </c>
      <c r="C6" s="8" t="n">
        <v>5.4</v>
      </c>
      <c r="D6" s="8" t="n">
        <v>9200</v>
      </c>
      <c r="E6" s="8" t="n">
        <v>3000</v>
      </c>
      <c r="F6" s="8" t="n">
        <v>1500</v>
      </c>
      <c r="G6" s="8" t="n">
        <v>850</v>
      </c>
      <c r="H6" s="8" t="n">
        <v>2400</v>
      </c>
      <c r="I6" s="8" t="n">
        <v>1800</v>
      </c>
      <c r="J6" s="8">
        <f>SUM(D6:I6)</f>
        <v/>
      </c>
      <c r="K6" s="8" t="n">
        <v>238000</v>
      </c>
      <c r="L6" s="8" t="inlineStr">
        <is>
          <t>CBS Statline 2024</t>
        </is>
      </c>
    </row>
    <row r="7" ht="16" customHeight="1">
      <c r="A7" s="7" t="inlineStr">
        <is>
          <t>GM0392</t>
        </is>
      </c>
      <c r="B7" s="7" t="inlineStr">
        <is>
          <t>Groningen</t>
        </is>
      </c>
      <c r="C7" s="8" t="n">
        <v>7.3</v>
      </c>
      <c r="D7" s="8" t="n">
        <v>11400</v>
      </c>
      <c r="E7" s="8" t="n">
        <v>3800</v>
      </c>
      <c r="F7" s="8" t="n">
        <v>2200</v>
      </c>
      <c r="G7" s="8" t="n">
        <v>1100</v>
      </c>
      <c r="H7" s="8" t="n">
        <v>3100</v>
      </c>
      <c r="I7" s="8" t="n">
        <v>2600</v>
      </c>
      <c r="J7" s="8">
        <f>SUM(D7:I7)</f>
        <v/>
      </c>
      <c r="K7" s="8" t="n">
        <v>234000</v>
      </c>
      <c r="L7" s="8" t="inlineStr">
        <is>
          <t>CBS Statline 2024</t>
        </is>
      </c>
    </row>
    <row r="8" ht="16" customHeight="1">
      <c r="A8" s="7" t="inlineStr">
        <is>
          <t>GM0503</t>
        </is>
      </c>
      <c r="B8" s="7" t="inlineStr">
        <is>
          <t>Tilburg</t>
        </is>
      </c>
      <c r="C8" s="8" t="n">
        <v>6.1</v>
      </c>
      <c r="D8" s="8" t="n">
        <v>10800</v>
      </c>
      <c r="E8" s="8" t="n">
        <v>3500</v>
      </c>
      <c r="F8" s="8" t="n">
        <v>1800</v>
      </c>
      <c r="G8" s="8" t="n">
        <v>920</v>
      </c>
      <c r="H8" s="8" t="n">
        <v>2700</v>
      </c>
      <c r="I8" s="8" t="n">
        <v>2100</v>
      </c>
      <c r="J8" s="8">
        <f>SUM(D8:I8)</f>
        <v/>
      </c>
      <c r="K8" s="8" t="n">
        <v>224000</v>
      </c>
      <c r="L8" s="8" t="inlineStr">
        <is>
          <t>CBS Statline 2024</t>
        </is>
      </c>
    </row>
    <row r="9" ht="16" customHeight="1">
      <c r="A9" s="7" t="inlineStr">
        <is>
          <t>GM0268</t>
        </is>
      </c>
      <c r="B9" s="7" t="inlineStr">
        <is>
          <t>Almere</t>
        </is>
      </c>
      <c r="C9" s="8" t="n">
        <v>6.8</v>
      </c>
      <c r="D9" s="8" t="n">
        <v>10200</v>
      </c>
      <c r="E9" s="8" t="n">
        <v>3200</v>
      </c>
      <c r="F9" s="8" t="n">
        <v>2100</v>
      </c>
      <c r="G9" s="8" t="n">
        <v>890</v>
      </c>
      <c r="H9" s="8" t="n">
        <v>2500</v>
      </c>
      <c r="I9" s="8" t="n">
        <v>1900</v>
      </c>
      <c r="J9" s="8">
        <f>SUM(D9:I9)</f>
        <v/>
      </c>
      <c r="K9" s="8" t="n">
        <v>216000</v>
      </c>
      <c r="L9" s="8" t="inlineStr">
        <is>
          <t>CBS Statline 2024</t>
        </is>
      </c>
    </row>
    <row r="10" ht="16" customHeight="1">
      <c r="A10" s="7" t="inlineStr">
        <is>
          <t>GM0153</t>
        </is>
      </c>
      <c r="B10" s="7" t="inlineStr">
        <is>
          <t>Breda</t>
        </is>
      </c>
      <c r="C10" s="8" t="n">
        <v>5.9</v>
      </c>
      <c r="D10" s="8" t="n">
        <v>8200</v>
      </c>
      <c r="E10" s="8" t="n">
        <v>2700</v>
      </c>
      <c r="F10" s="8" t="n">
        <v>1100</v>
      </c>
      <c r="G10" s="8" t="n">
        <v>650</v>
      </c>
      <c r="H10" s="8" t="n">
        <v>2200</v>
      </c>
      <c r="I10" s="8" t="n">
        <v>1900</v>
      </c>
      <c r="J10" s="8">
        <f>SUM(D10:I10)</f>
        <v/>
      </c>
      <c r="K10" s="8" t="n">
        <v>185000</v>
      </c>
      <c r="L10" s="8" t="inlineStr">
        <is>
          <t>CBS Statline 2024</t>
        </is>
      </c>
    </row>
    <row r="11" ht="16" customHeight="1">
      <c r="A11" s="7" t="inlineStr">
        <is>
          <t>GM0243</t>
        </is>
      </c>
      <c r="B11" s="7" t="inlineStr">
        <is>
          <t>Nijmegen</t>
        </is>
      </c>
      <c r="C11" s="8" t="n">
        <v>5.8</v>
      </c>
      <c r="D11" s="8" t="n">
        <v>8100</v>
      </c>
      <c r="E11" s="8" t="n">
        <v>2600</v>
      </c>
      <c r="F11" s="8" t="n">
        <v>1400</v>
      </c>
      <c r="G11" s="8" t="n">
        <v>780</v>
      </c>
      <c r="H11" s="8" t="n">
        <v>2100</v>
      </c>
      <c r="I11" s="8" t="n">
        <v>1800</v>
      </c>
      <c r="J11" s="8">
        <f>SUM(D11:I11)</f>
        <v/>
      </c>
      <c r="K11" s="8" t="n">
        <v>179000</v>
      </c>
      <c r="L11" s="8" t="inlineStr">
        <is>
          <t>CBS Statline 2024</t>
        </is>
      </c>
    </row>
    <row r="12" ht="16" customHeight="1">
      <c r="A12" s="7" t="inlineStr">
        <is>
          <t>GM0034</t>
        </is>
      </c>
      <c r="B12" s="7" t="inlineStr">
        <is>
          <t>Apeldoorn</t>
        </is>
      </c>
      <c r="C12" s="8" t="n">
        <v>4.9</v>
      </c>
      <c r="D12" s="8" t="n">
        <v>6800</v>
      </c>
      <c r="E12" s="8" t="n">
        <v>2200</v>
      </c>
      <c r="F12" s="8" t="n">
        <v>820</v>
      </c>
      <c r="G12" s="8" t="n">
        <v>540</v>
      </c>
      <c r="H12" s="8" t="n">
        <v>1900</v>
      </c>
      <c r="I12" s="8" t="n">
        <v>1600</v>
      </c>
      <c r="J12" s="8">
        <f>SUM(D12:I12)</f>
        <v/>
      </c>
      <c r="K12" s="8" t="n">
        <v>165000</v>
      </c>
      <c r="L12" s="8" t="inlineStr">
        <is>
          <t>CBS Statline 2024</t>
        </is>
      </c>
    </row>
    <row r="13" ht="16" customHeight="1">
      <c r="A13" s="7" t="inlineStr">
        <is>
          <t>GM0796</t>
        </is>
      </c>
      <c r="B13" s="7" t="inlineStr">
        <is>
          <t>Haarlem</t>
        </is>
      </c>
      <c r="C13" s="8" t="n">
        <v>5.1</v>
      </c>
      <c r="D13" s="8" t="n">
        <v>6600</v>
      </c>
      <c r="E13" s="8" t="n">
        <v>2100</v>
      </c>
      <c r="F13" s="8" t="n">
        <v>940</v>
      </c>
      <c r="G13" s="8" t="n">
        <v>510</v>
      </c>
      <c r="H13" s="8" t="n">
        <v>1800</v>
      </c>
      <c r="I13" s="8" t="n">
        <v>1500</v>
      </c>
      <c r="J13" s="8">
        <f>SUM(D13:I13)</f>
        <v/>
      </c>
      <c r="K13" s="8" t="n">
        <v>163000</v>
      </c>
      <c r="L13" s="8" t="inlineStr">
        <is>
          <t>CBS Statline 2024</t>
        </is>
      </c>
    </row>
    <row r="14" ht="16" customHeight="1">
      <c r="A14" s="7" t="inlineStr">
        <is>
          <t>GM0060</t>
        </is>
      </c>
      <c r="B14" s="7" t="inlineStr">
        <is>
          <t>Arnhem</t>
        </is>
      </c>
      <c r="C14" s="8" t="n">
        <v>7.8</v>
      </c>
      <c r="D14" s="8" t="n">
        <v>8800</v>
      </c>
      <c r="E14" s="8" t="n">
        <v>2900</v>
      </c>
      <c r="F14" s="8" t="n">
        <v>1600</v>
      </c>
      <c r="G14" s="8" t="n">
        <v>820</v>
      </c>
      <c r="H14" s="8" t="n">
        <v>2200</v>
      </c>
      <c r="I14" s="8" t="n">
        <v>2000</v>
      </c>
      <c r="J14" s="8">
        <f>SUM(D14:I14)</f>
        <v/>
      </c>
      <c r="K14" s="8" t="n">
        <v>159000</v>
      </c>
      <c r="L14" s="8" t="inlineStr">
        <is>
          <t>CBS Statline 2024</t>
        </is>
      </c>
    </row>
    <row r="15" ht="16" customHeight="1">
      <c r="A15" s="7" t="inlineStr">
        <is>
          <t>GM0394</t>
        </is>
      </c>
      <c r="B15" s="7" t="inlineStr">
        <is>
          <t>Enschede</t>
        </is>
      </c>
      <c r="C15" s="8" t="n">
        <v>8.199999999999999</v>
      </c>
      <c r="D15" s="8" t="n">
        <v>9100</v>
      </c>
      <c r="E15" s="8" t="n">
        <v>3000</v>
      </c>
      <c r="F15" s="8" t="n">
        <v>1500</v>
      </c>
      <c r="G15" s="8" t="n">
        <v>840</v>
      </c>
      <c r="H15" s="8" t="n">
        <v>2300</v>
      </c>
      <c r="I15" s="8" t="n">
        <v>2100</v>
      </c>
      <c r="J15" s="8">
        <f>SUM(D15:I15)</f>
        <v/>
      </c>
      <c r="K15" s="8" t="n">
        <v>159000</v>
      </c>
      <c r="L15" s="8" t="inlineStr">
        <is>
          <t>CBS Statline 2024</t>
        </is>
      </c>
    </row>
    <row r="16" ht="16" customHeight="1">
      <c r="A16" s="7" t="inlineStr">
        <is>
          <t>GM0882</t>
        </is>
      </c>
      <c r="B16" s="7" t="inlineStr">
        <is>
          <t>Haarlemmermeer</t>
        </is>
      </c>
      <c r="C16" s="8" t="n">
        <v>3.8</v>
      </c>
      <c r="D16" s="8" t="n">
        <v>4200</v>
      </c>
      <c r="E16" s="8" t="n">
        <v>1400</v>
      </c>
      <c r="F16" s="8" t="n">
        <v>680</v>
      </c>
      <c r="G16" s="8" t="n">
        <v>380</v>
      </c>
      <c r="H16" s="8" t="n">
        <v>1200</v>
      </c>
      <c r="I16" s="8" t="n">
        <v>1100</v>
      </c>
      <c r="J16" s="8">
        <f>SUM(D16:I16)</f>
        <v/>
      </c>
      <c r="K16" s="8" t="n">
        <v>157000</v>
      </c>
      <c r="L16" s="8" t="inlineStr">
        <is>
          <t>CBS Statline 2024</t>
        </is>
      </c>
    </row>
    <row r="17" ht="16" customHeight="1">
      <c r="A17" s="7" t="inlineStr">
        <is>
          <t>GM0797</t>
        </is>
      </c>
      <c r="B17" s="7" t="inlineStr">
        <is>
          <t>'s-Hertogenbosch</t>
        </is>
      </c>
      <c r="C17" s="8" t="n">
        <v>4.7</v>
      </c>
      <c r="D17" s="8" t="n">
        <v>6100</v>
      </c>
      <c r="E17" s="8" t="n">
        <v>2000</v>
      </c>
      <c r="F17" s="8" t="n">
        <v>820</v>
      </c>
      <c r="G17" s="8" t="n">
        <v>410</v>
      </c>
      <c r="H17" s="8" t="n">
        <v>1800</v>
      </c>
      <c r="I17" s="8" t="n">
        <v>1100</v>
      </c>
      <c r="J17" s="8">
        <f>SUM(D17:I17)</f>
        <v/>
      </c>
      <c r="K17" s="8" t="n">
        <v>156000</v>
      </c>
      <c r="L17" s="8" t="inlineStr">
        <is>
          <t>CBS Statline 2024</t>
        </is>
      </c>
    </row>
    <row r="18" ht="16" customHeight="1">
      <c r="A18" s="7" t="inlineStr">
        <is>
          <t>GM0867</t>
        </is>
      </c>
      <c r="B18" s="7" t="inlineStr">
        <is>
          <t>Zwolle</t>
        </is>
      </c>
      <c r="C18" s="8" t="n">
        <v>4.4</v>
      </c>
      <c r="D18" s="8" t="n">
        <v>5200</v>
      </c>
      <c r="E18" s="8" t="n">
        <v>1700</v>
      </c>
      <c r="F18" s="8" t="n">
        <v>980</v>
      </c>
      <c r="G18" s="8" t="n">
        <v>420</v>
      </c>
      <c r="H18" s="8" t="n">
        <v>1500</v>
      </c>
      <c r="I18" s="8" t="n">
        <v>1200</v>
      </c>
      <c r="J18" s="8">
        <f>SUM(D18:I18)</f>
        <v/>
      </c>
      <c r="K18" s="8" t="n">
        <v>132000</v>
      </c>
      <c r="L18" s="8" t="inlineStr">
        <is>
          <t>CBS Statline 2024</t>
        </is>
      </c>
    </row>
    <row r="19" ht="16" customHeight="1">
      <c r="A19" s="7" t="inlineStr">
        <is>
          <t>GM0050</t>
        </is>
      </c>
      <c r="B19" s="7" t="inlineStr">
        <is>
          <t>Amersfoort</t>
        </is>
      </c>
      <c r="C19" s="8" t="n">
        <v>4.1</v>
      </c>
      <c r="D19" s="8" t="n">
        <v>5800</v>
      </c>
      <c r="E19" s="8" t="n">
        <v>1900</v>
      </c>
      <c r="F19" s="8" t="n">
        <v>880</v>
      </c>
      <c r="G19" s="8" t="n">
        <v>450</v>
      </c>
      <c r="H19" s="8" t="n">
        <v>1600</v>
      </c>
      <c r="I19" s="8" t="n">
        <v>1300</v>
      </c>
      <c r="J19" s="8">
        <f>SUM(D19:I19)</f>
        <v/>
      </c>
      <c r="K19" s="8" t="n">
        <v>160000</v>
      </c>
      <c r="L19" s="8" t="inlineStr">
        <is>
          <t>CBS Statline 2024</t>
        </is>
      </c>
    </row>
    <row r="20" ht="16" customHeight="1">
      <c r="A20" s="7" t="inlineStr">
        <is>
          <t>GM0200</t>
        </is>
      </c>
      <c r="B20" s="7" t="inlineStr">
        <is>
          <t>Zoetermeer</t>
        </is>
      </c>
      <c r="C20" s="8" t="n">
        <v>5.6</v>
      </c>
      <c r="D20" s="8" t="n">
        <v>5900</v>
      </c>
      <c r="E20" s="8" t="n">
        <v>1900</v>
      </c>
      <c r="F20" s="8" t="n">
        <v>980</v>
      </c>
      <c r="G20" s="8" t="n">
        <v>480</v>
      </c>
      <c r="H20" s="8" t="n">
        <v>1600</v>
      </c>
      <c r="I20" s="8" t="n">
        <v>1400</v>
      </c>
      <c r="J20" s="8">
        <f>SUM(D20:I20)</f>
        <v/>
      </c>
      <c r="K20" s="8" t="n">
        <v>126000</v>
      </c>
      <c r="L20" s="8" t="inlineStr">
        <is>
          <t>CBS Statline 2024</t>
        </is>
      </c>
    </row>
    <row r="21" ht="16" customHeight="1">
      <c r="A21" s="7" t="inlineStr">
        <is>
          <t>GM0626</t>
        </is>
      </c>
      <c r="B21" s="7" t="inlineStr">
        <is>
          <t>Maastricht</t>
        </is>
      </c>
      <c r="C21" s="8" t="n">
        <v>6.9</v>
      </c>
      <c r="D21" s="8" t="n">
        <v>6800</v>
      </c>
      <c r="E21" s="8" t="n">
        <v>2200</v>
      </c>
      <c r="F21" s="8" t="n">
        <v>1100</v>
      </c>
      <c r="G21" s="8" t="n">
        <v>620</v>
      </c>
      <c r="H21" s="8" t="n">
        <v>1900</v>
      </c>
      <c r="I21" s="8" t="n">
        <v>1700</v>
      </c>
      <c r="J21" s="8">
        <f>SUM(D21:I21)</f>
        <v/>
      </c>
      <c r="K21" s="8" t="n">
        <v>120000</v>
      </c>
      <c r="L21" s="8" t="inlineStr">
        <is>
          <t>CBS Statline 2024</t>
        </is>
      </c>
    </row>
    <row r="22" ht="16" customHeight="1">
      <c r="A22" s="7" t="inlineStr">
        <is>
          <t>GM0302</t>
        </is>
      </c>
      <c r="B22" s="7" t="inlineStr">
        <is>
          <t>Leiden</t>
        </is>
      </c>
      <c r="C22" s="8" t="n">
        <v>5.2</v>
      </c>
      <c r="D22" s="8" t="n">
        <v>5600</v>
      </c>
      <c r="E22" s="8" t="n">
        <v>1800</v>
      </c>
      <c r="F22" s="8" t="n">
        <v>980</v>
      </c>
      <c r="G22" s="8" t="n">
        <v>460</v>
      </c>
      <c r="H22" s="8" t="n">
        <v>1500</v>
      </c>
      <c r="I22" s="8" t="n">
        <v>1300</v>
      </c>
      <c r="J22" s="8">
        <f>SUM(D22:I22)</f>
        <v/>
      </c>
      <c r="K22" s="8" t="n">
        <v>124000</v>
      </c>
      <c r="L22" s="8" t="inlineStr">
        <is>
          <t>CBS Statline 2024</t>
        </is>
      </c>
    </row>
    <row r="23" ht="16" customHeight="1">
      <c r="A23" s="7" t="inlineStr">
        <is>
          <t>GM0484</t>
        </is>
      </c>
      <c r="B23" s="7" t="inlineStr">
        <is>
          <t>Dordrecht</t>
        </is>
      </c>
      <c r="C23" s="8" t="n">
        <v>7.1</v>
      </c>
      <c r="D23" s="8" t="n">
        <v>6600</v>
      </c>
      <c r="E23" s="8" t="n">
        <v>2100</v>
      </c>
      <c r="F23" s="8" t="n">
        <v>980</v>
      </c>
      <c r="G23" s="8" t="n">
        <v>540</v>
      </c>
      <c r="H23" s="8" t="n">
        <v>1800</v>
      </c>
      <c r="I23" s="8" t="n">
        <v>1600</v>
      </c>
      <c r="J23" s="8">
        <f>SUM(D23:I23)</f>
        <v/>
      </c>
      <c r="K23" s="8" t="n">
        <v>119000</v>
      </c>
      <c r="L23" s="8" t="inlineStr">
        <is>
          <t>CBS Statline 2024</t>
        </is>
      </c>
    </row>
    <row r="24" ht="16" customHeight="1">
      <c r="A24" s="7" t="inlineStr">
        <is>
          <t>GM0307</t>
        </is>
      </c>
      <c r="B24" s="7" t="inlineStr">
        <is>
          <t>Westland</t>
        </is>
      </c>
      <c r="C24" s="8" t="n">
        <v>3.2</v>
      </c>
      <c r="D24" s="8" t="n">
        <v>2800</v>
      </c>
      <c r="E24" s="8" t="n">
        <v>900</v>
      </c>
      <c r="F24" s="8" t="n">
        <v>520</v>
      </c>
      <c r="G24" s="8" t="n">
        <v>280</v>
      </c>
      <c r="H24" s="8" t="n">
        <v>800</v>
      </c>
      <c r="I24" s="8" t="n">
        <v>750</v>
      </c>
      <c r="J24" s="8">
        <f>SUM(D24:I24)</f>
        <v/>
      </c>
      <c r="K24" s="8" t="n">
        <v>110000</v>
      </c>
      <c r="L24" s="8" t="inlineStr">
        <is>
          <t>CBS Statline 2024</t>
        </is>
      </c>
    </row>
    <row r="25" ht="16" customHeight="1">
      <c r="A25" s="7" t="inlineStr">
        <is>
          <t>GM0080</t>
        </is>
      </c>
      <c r="B25" s="7" t="inlineStr">
        <is>
          <t>Deventer</t>
        </is>
      </c>
      <c r="C25" s="8" t="n">
        <v>5.8</v>
      </c>
      <c r="D25" s="8" t="n">
        <v>5100</v>
      </c>
      <c r="E25" s="8" t="n">
        <v>1600</v>
      </c>
      <c r="F25" s="8" t="n">
        <v>880</v>
      </c>
      <c r="G25" s="8" t="n">
        <v>420</v>
      </c>
      <c r="H25" s="8" t="n">
        <v>1400</v>
      </c>
      <c r="I25" s="8" t="n">
        <v>1300</v>
      </c>
      <c r="J25" s="8">
        <f>SUM(D25:I25)</f>
        <v/>
      </c>
      <c r="K25" s="8" t="n">
        <v>100000</v>
      </c>
      <c r="L25" s="8" t="inlineStr">
        <is>
          <t>CBS Statline 2024</t>
        </is>
      </c>
    </row>
    <row r="26" ht="16" customHeight="1">
      <c r="A26" s="7" t="inlineStr">
        <is>
          <t>GM0632</t>
        </is>
      </c>
      <c r="B26" s="7" t="inlineStr">
        <is>
          <t>Sittard-Geleen</t>
        </is>
      </c>
      <c r="C26" s="8" t="n">
        <v>6.4</v>
      </c>
      <c r="D26" s="8" t="n">
        <v>4800</v>
      </c>
      <c r="E26" s="8" t="n">
        <v>1500</v>
      </c>
      <c r="F26" s="8" t="n">
        <v>720</v>
      </c>
      <c r="G26" s="8" t="n">
        <v>380</v>
      </c>
      <c r="H26" s="8" t="n">
        <v>1400</v>
      </c>
      <c r="I26" s="8" t="n">
        <v>1300</v>
      </c>
      <c r="J26" s="8">
        <f>SUM(D26:I26)</f>
        <v/>
      </c>
      <c r="K26" s="8" t="n">
        <v>93000</v>
      </c>
      <c r="L26" s="8" t="inlineStr">
        <is>
          <t>CBS Statline 2024</t>
        </is>
      </c>
    </row>
    <row r="27" ht="16" customHeight="1">
      <c r="A27" s="9" t="n"/>
      <c r="B27" s="9" t="n"/>
      <c r="C27" s="10" t="n"/>
      <c r="D27" s="10" t="n"/>
      <c r="E27" s="10" t="n"/>
      <c r="F27" s="10" t="n"/>
      <c r="G27" s="10" t="n"/>
      <c r="H27" s="10" t="n"/>
      <c r="I27" s="10" t="n"/>
      <c r="J27" s="10">
        <f>SUM(D27:I27)</f>
        <v/>
      </c>
      <c r="K27" s="10" t="n"/>
      <c r="L27" s="10" t="n"/>
    </row>
    <row r="28" ht="16" customHeight="1">
      <c r="A28" s="9" t="n"/>
      <c r="B28" s="9" t="n"/>
      <c r="C28" s="10" t="n"/>
      <c r="D28" s="10" t="n"/>
      <c r="E28" s="10" t="n"/>
      <c r="F28" s="10" t="n"/>
      <c r="G28" s="10" t="n"/>
      <c r="H28" s="10" t="n"/>
      <c r="I28" s="10" t="n"/>
      <c r="J28" s="10">
        <f>SUM(D28:I28)</f>
        <v/>
      </c>
      <c r="K28" s="10" t="n"/>
      <c r="L28" s="10" t="n"/>
    </row>
    <row r="29" ht="16" customHeight="1">
      <c r="A29" s="9" t="n"/>
      <c r="B29" s="9" t="n"/>
      <c r="C29" s="10" t="n"/>
      <c r="D29" s="10" t="n"/>
      <c r="E29" s="10" t="n"/>
      <c r="F29" s="10" t="n"/>
      <c r="G29" s="10" t="n"/>
      <c r="H29" s="10" t="n"/>
      <c r="I29" s="10" t="n"/>
      <c r="J29" s="10">
        <f>SUM(D29:I29)</f>
        <v/>
      </c>
      <c r="K29" s="10" t="n"/>
      <c r="L29" s="10" t="n"/>
    </row>
    <row r="30" ht="16" customHeight="1">
      <c r="A30" s="9" t="n"/>
      <c r="B30" s="9" t="n"/>
      <c r="C30" s="10" t="n"/>
      <c r="D30" s="10" t="n"/>
      <c r="E30" s="10" t="n"/>
      <c r="F30" s="10" t="n"/>
      <c r="G30" s="10" t="n"/>
      <c r="H30" s="10" t="n"/>
      <c r="I30" s="10" t="n"/>
      <c r="J30" s="10">
        <f>SUM(D30:I30)</f>
        <v/>
      </c>
      <c r="K30" s="10" t="n"/>
      <c r="L30" s="10" t="n"/>
    </row>
    <row r="31" ht="16" customHeight="1">
      <c r="A31" s="9" t="n"/>
      <c r="B31" s="9" t="n"/>
      <c r="C31" s="10" t="n"/>
      <c r="D31" s="10" t="n"/>
      <c r="E31" s="10" t="n"/>
      <c r="F31" s="10" t="n"/>
      <c r="G31" s="10" t="n"/>
      <c r="H31" s="10" t="n"/>
      <c r="I31" s="10" t="n"/>
      <c r="J31" s="10">
        <f>SUM(D31:I31)</f>
        <v/>
      </c>
      <c r="K31" s="10" t="n"/>
      <c r="L31" s="10" t="n"/>
    </row>
    <row r="32" ht="16" customHeight="1">
      <c r="A32" s="9" t="n"/>
      <c r="B32" s="9" t="n"/>
      <c r="C32" s="10" t="n"/>
      <c r="D32" s="10" t="n"/>
      <c r="E32" s="10" t="n"/>
      <c r="F32" s="10" t="n"/>
      <c r="G32" s="10" t="n"/>
      <c r="H32" s="10" t="n"/>
      <c r="I32" s="10" t="n"/>
      <c r="J32" s="10">
        <f>SUM(D32:I32)</f>
        <v/>
      </c>
      <c r="K32" s="10" t="n"/>
      <c r="L32" s="10" t="n"/>
    </row>
    <row r="33" ht="16" customHeight="1">
      <c r="A33" s="9" t="n"/>
      <c r="B33" s="9" t="n"/>
      <c r="C33" s="10" t="n"/>
      <c r="D33" s="10" t="n"/>
      <c r="E33" s="10" t="n"/>
      <c r="F33" s="10" t="n"/>
      <c r="G33" s="10" t="n"/>
      <c r="H33" s="10" t="n"/>
      <c r="I33" s="10" t="n"/>
      <c r="J33" s="10">
        <f>SUM(D33:I33)</f>
        <v/>
      </c>
      <c r="K33" s="10" t="n"/>
      <c r="L33" s="10" t="n"/>
    </row>
    <row r="34" ht="16" customHeight="1">
      <c r="A34" s="9" t="n"/>
      <c r="B34" s="9" t="n"/>
      <c r="C34" s="10" t="n"/>
      <c r="D34" s="10" t="n"/>
      <c r="E34" s="10" t="n"/>
      <c r="F34" s="10" t="n"/>
      <c r="G34" s="10" t="n"/>
      <c r="H34" s="10" t="n"/>
      <c r="I34" s="10" t="n"/>
      <c r="J34" s="10">
        <f>SUM(D34:I34)</f>
        <v/>
      </c>
      <c r="K34" s="10" t="n"/>
      <c r="L34" s="10" t="n"/>
    </row>
    <row r="35" ht="16" customHeight="1">
      <c r="A35" s="9" t="n"/>
      <c r="B35" s="9" t="n"/>
      <c r="C35" s="10" t="n"/>
      <c r="D35" s="10" t="n"/>
      <c r="E35" s="10" t="n"/>
      <c r="F35" s="10" t="n"/>
      <c r="G35" s="10" t="n"/>
      <c r="H35" s="10" t="n"/>
      <c r="I35" s="10" t="n"/>
      <c r="J35" s="10">
        <f>SUM(D35:I35)</f>
        <v/>
      </c>
      <c r="K35" s="10" t="n"/>
      <c r="L35" s="10" t="n"/>
    </row>
    <row r="36" ht="16" customHeight="1">
      <c r="A36" s="9" t="n"/>
      <c r="B36" s="9" t="n"/>
      <c r="C36" s="10" t="n"/>
      <c r="D36" s="10" t="n"/>
      <c r="E36" s="10" t="n"/>
      <c r="F36" s="10" t="n"/>
      <c r="G36" s="10" t="n"/>
      <c r="H36" s="10" t="n"/>
      <c r="I36" s="10" t="n"/>
      <c r="J36" s="10">
        <f>SUM(D36:I36)</f>
        <v/>
      </c>
      <c r="K36" s="10" t="n"/>
      <c r="L36" s="10" t="n"/>
    </row>
    <row r="37" ht="16" customHeight="1">
      <c r="A37" s="9" t="n"/>
      <c r="B37" s="9" t="n"/>
      <c r="C37" s="10" t="n"/>
      <c r="D37" s="10" t="n"/>
      <c r="E37" s="10" t="n"/>
      <c r="F37" s="10" t="n"/>
      <c r="G37" s="10" t="n"/>
      <c r="H37" s="10" t="n"/>
      <c r="I37" s="10" t="n"/>
      <c r="J37" s="10">
        <f>SUM(D37:I37)</f>
        <v/>
      </c>
      <c r="K37" s="10" t="n"/>
      <c r="L37" s="10" t="n"/>
    </row>
    <row r="38" ht="16" customHeight="1">
      <c r="A38" s="9" t="n"/>
      <c r="B38" s="9" t="n"/>
      <c r="C38" s="10" t="n"/>
      <c r="D38" s="10" t="n"/>
      <c r="E38" s="10" t="n"/>
      <c r="F38" s="10" t="n"/>
      <c r="G38" s="10" t="n"/>
      <c r="H38" s="10" t="n"/>
      <c r="I38" s="10" t="n"/>
      <c r="J38" s="10">
        <f>SUM(D38:I38)</f>
        <v/>
      </c>
      <c r="K38" s="10" t="n"/>
      <c r="L38" s="10" t="n"/>
    </row>
    <row r="39" ht="16" customHeight="1">
      <c r="A39" s="9" t="n"/>
      <c r="B39" s="9" t="n"/>
      <c r="C39" s="10" t="n"/>
      <c r="D39" s="10" t="n"/>
      <c r="E39" s="10" t="n"/>
      <c r="F39" s="10" t="n"/>
      <c r="G39" s="10" t="n"/>
      <c r="H39" s="10" t="n"/>
      <c r="I39" s="10" t="n"/>
      <c r="J39" s="10">
        <f>SUM(D39:I39)</f>
        <v/>
      </c>
      <c r="K39" s="10" t="n"/>
      <c r="L39" s="10" t="n"/>
    </row>
    <row r="40" ht="16" customHeight="1">
      <c r="A40" s="9" t="n"/>
      <c r="B40" s="9" t="n"/>
      <c r="C40" s="10" t="n"/>
      <c r="D40" s="10" t="n"/>
      <c r="E40" s="10" t="n"/>
      <c r="F40" s="10" t="n"/>
      <c r="G40" s="10" t="n"/>
      <c r="H40" s="10" t="n"/>
      <c r="I40" s="10" t="n"/>
      <c r="J40" s="10">
        <f>SUM(D40:I40)</f>
        <v/>
      </c>
      <c r="K40" s="10" t="n"/>
      <c r="L40" s="10" t="n"/>
    </row>
    <row r="41" ht="16" customHeight="1">
      <c r="A41" s="9" t="n"/>
      <c r="B41" s="9" t="n"/>
      <c r="C41" s="10" t="n"/>
      <c r="D41" s="10" t="n"/>
      <c r="E41" s="10" t="n"/>
      <c r="F41" s="10" t="n"/>
      <c r="G41" s="10" t="n"/>
      <c r="H41" s="10" t="n"/>
      <c r="I41" s="10" t="n"/>
      <c r="J41" s="10">
        <f>SUM(D41:I41)</f>
        <v/>
      </c>
      <c r="K41" s="10" t="n"/>
      <c r="L41" s="10" t="n"/>
    </row>
    <row r="42" ht="16" customHeight="1">
      <c r="A42" s="9" t="n"/>
      <c r="B42" s="9" t="n"/>
      <c r="C42" s="10" t="n"/>
      <c r="D42" s="10" t="n"/>
      <c r="E42" s="10" t="n"/>
      <c r="F42" s="10" t="n"/>
      <c r="G42" s="10" t="n"/>
      <c r="H42" s="10" t="n"/>
      <c r="I42" s="10" t="n"/>
      <c r="J42" s="10">
        <f>SUM(D42:I42)</f>
        <v/>
      </c>
      <c r="K42" s="10" t="n"/>
      <c r="L42" s="10" t="n"/>
    </row>
    <row r="43" ht="16" customHeight="1">
      <c r="A43" s="9" t="n"/>
      <c r="B43" s="9" t="n"/>
      <c r="C43" s="10" t="n"/>
      <c r="D43" s="10" t="n"/>
      <c r="E43" s="10" t="n"/>
      <c r="F43" s="10" t="n"/>
      <c r="G43" s="10" t="n"/>
      <c r="H43" s="10" t="n"/>
      <c r="I43" s="10" t="n"/>
      <c r="J43" s="10">
        <f>SUM(D43:I43)</f>
        <v/>
      </c>
      <c r="K43" s="10" t="n"/>
      <c r="L43" s="10" t="n"/>
    </row>
    <row r="44" ht="16" customHeight="1">
      <c r="A44" s="9" t="n"/>
      <c r="B44" s="9" t="n"/>
      <c r="C44" s="10" t="n"/>
      <c r="D44" s="10" t="n"/>
      <c r="E44" s="10" t="n"/>
      <c r="F44" s="10" t="n"/>
      <c r="G44" s="10" t="n"/>
      <c r="H44" s="10" t="n"/>
      <c r="I44" s="10" t="n"/>
      <c r="J44" s="10">
        <f>SUM(D44:I44)</f>
        <v/>
      </c>
      <c r="K44" s="10" t="n"/>
      <c r="L44" s="10" t="n"/>
    </row>
    <row r="45" ht="16" customHeight="1">
      <c r="A45" s="9" t="n"/>
      <c r="B45" s="9" t="n"/>
      <c r="C45" s="10" t="n"/>
      <c r="D45" s="10" t="n"/>
      <c r="E45" s="10" t="n"/>
      <c r="F45" s="10" t="n"/>
      <c r="G45" s="10" t="n"/>
      <c r="H45" s="10" t="n"/>
      <c r="I45" s="10" t="n"/>
      <c r="J45" s="10">
        <f>SUM(D45:I45)</f>
        <v/>
      </c>
      <c r="K45" s="10" t="n"/>
      <c r="L45" s="10" t="n"/>
    </row>
    <row r="46" ht="16" customHeight="1">
      <c r="A46" s="9" t="n"/>
      <c r="B46" s="9" t="n"/>
      <c r="C46" s="10" t="n"/>
      <c r="D46" s="10" t="n"/>
      <c r="E46" s="10" t="n"/>
      <c r="F46" s="10" t="n"/>
      <c r="G46" s="10" t="n"/>
      <c r="H46" s="10" t="n"/>
      <c r="I46" s="10" t="n"/>
      <c r="J46" s="10">
        <f>SUM(D46:I46)</f>
        <v/>
      </c>
      <c r="K46" s="10" t="n"/>
      <c r="L46" s="10" t="n"/>
    </row>
    <row r="47" ht="16" customHeight="1">
      <c r="A47" s="9" t="n"/>
      <c r="B47" s="9" t="n"/>
      <c r="C47" s="10" t="n"/>
      <c r="D47" s="10" t="n"/>
      <c r="E47" s="10" t="n"/>
      <c r="F47" s="10" t="n"/>
      <c r="G47" s="10" t="n"/>
      <c r="H47" s="10" t="n"/>
      <c r="I47" s="10" t="n"/>
      <c r="J47" s="10">
        <f>SUM(D47:I47)</f>
        <v/>
      </c>
      <c r="K47" s="10" t="n"/>
      <c r="L47" s="10" t="n"/>
    </row>
    <row r="48" ht="16" customHeight="1">
      <c r="A48" s="9" t="n"/>
      <c r="B48" s="9" t="n"/>
      <c r="C48" s="10" t="n"/>
      <c r="D48" s="10" t="n"/>
      <c r="E48" s="10" t="n"/>
      <c r="F48" s="10" t="n"/>
      <c r="G48" s="10" t="n"/>
      <c r="H48" s="10" t="n"/>
      <c r="I48" s="10" t="n"/>
      <c r="J48" s="10">
        <f>SUM(D48:I48)</f>
        <v/>
      </c>
      <c r="K48" s="10" t="n"/>
      <c r="L48" s="10" t="n"/>
    </row>
    <row r="49" ht="16" customHeight="1">
      <c r="A49" s="9" t="n"/>
      <c r="B49" s="9" t="n"/>
      <c r="C49" s="10" t="n"/>
      <c r="D49" s="10" t="n"/>
      <c r="E49" s="10" t="n"/>
      <c r="F49" s="10" t="n"/>
      <c r="G49" s="10" t="n"/>
      <c r="H49" s="10" t="n"/>
      <c r="I49" s="10" t="n"/>
      <c r="J49" s="10">
        <f>SUM(D49:I49)</f>
        <v/>
      </c>
      <c r="K49" s="10" t="n"/>
      <c r="L49" s="10" t="n"/>
    </row>
    <row r="50" ht="16" customHeight="1">
      <c r="A50" s="9" t="n"/>
      <c r="B50" s="9" t="n"/>
      <c r="C50" s="10" t="n"/>
      <c r="D50" s="10" t="n"/>
      <c r="E50" s="10" t="n"/>
      <c r="F50" s="10" t="n"/>
      <c r="G50" s="10" t="n"/>
      <c r="H50" s="10" t="n"/>
      <c r="I50" s="10" t="n"/>
      <c r="J50" s="10">
        <f>SUM(D50:I50)</f>
        <v/>
      </c>
      <c r="K50" s="10" t="n"/>
      <c r="L50" s="10" t="n"/>
    </row>
    <row r="51" ht="16" customHeight="1">
      <c r="A51" s="9" t="n"/>
      <c r="B51" s="9" t="n"/>
      <c r="C51" s="10" t="n"/>
      <c r="D51" s="10" t="n"/>
      <c r="E51" s="10" t="n"/>
      <c r="F51" s="10" t="n"/>
      <c r="G51" s="10" t="n"/>
      <c r="H51" s="10" t="n"/>
      <c r="I51" s="10" t="n"/>
      <c r="J51" s="10">
        <f>SUM(D51:I51)</f>
        <v/>
      </c>
      <c r="K51" s="10" t="n"/>
      <c r="L51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8" customWidth="1" min="8" max="8"/>
  </cols>
  <sheetData>
    <row r="1" ht="36" customHeight="1">
      <c r="A1" s="12" t="inlineStr">
        <is>
          <t>GM-code</t>
        </is>
      </c>
      <c r="B1" s="12" t="inlineStr">
        <is>
          <t>Gemeente</t>
        </is>
      </c>
      <c r="C1" s="12" t="inlineStr">
        <is>
          <t>BUIG (€)</t>
        </is>
      </c>
      <c r="D1" s="12" t="inlineStr">
        <is>
          <t>BUIG/bijstand (€)</t>
        </is>
      </c>
      <c r="E1" s="12" t="inlineStr">
        <is>
          <t>Re-integratie (€)</t>
        </is>
      </c>
      <c r="F1" s="12" t="inlineStr">
        <is>
          <t>Totaal (€)</t>
        </is>
      </c>
      <c r="G1" s="12" t="inlineStr">
        <is>
          <t>Per inwoner (€)</t>
        </is>
      </c>
      <c r="H1" s="12" t="inlineStr">
        <is>
          <t>Bron</t>
        </is>
      </c>
    </row>
    <row r="2" ht="16" customHeight="1">
      <c r="A2" s="7" t="inlineStr">
        <is>
          <t>GM0363</t>
        </is>
      </c>
      <c r="B2" s="7" t="inlineStr">
        <is>
          <t>Amsterdam</t>
        </is>
      </c>
      <c r="C2" s="8" t="n">
        <v>538000000</v>
      </c>
      <c r="D2" s="8">
        <f>IF(D2&gt;0,C2/D2,"")</f>
        <v/>
      </c>
      <c r="E2" s="8" t="n">
        <v>58000000</v>
      </c>
      <c r="F2" s="8">
        <f>C2+E2</f>
        <v/>
      </c>
      <c r="G2" s="8">
        <f>IF(K2&gt;0,F2/K2,"")</f>
        <v/>
      </c>
      <c r="H2" s="8" t="inlineStr">
        <is>
          <t>Rijksoverheid BUIG 2024</t>
        </is>
      </c>
    </row>
    <row r="3" ht="16" customHeight="1">
      <c r="A3" s="7" t="inlineStr">
        <is>
          <t>GM0599</t>
        </is>
      </c>
      <c r="B3" s="7" t="inlineStr">
        <is>
          <t>Rotterdam</t>
        </is>
      </c>
      <c r="C3" s="8" t="n">
        <v>485000000</v>
      </c>
      <c r="D3" s="8">
        <f>IF(D3&gt;0,C3/D3,"")</f>
        <v/>
      </c>
      <c r="E3" s="8" t="n">
        <v>42000000</v>
      </c>
      <c r="F3" s="8">
        <f>C3+E3</f>
        <v/>
      </c>
      <c r="G3" s="8">
        <f>IF(K3&gt;0,F3/K3,"")</f>
        <v/>
      </c>
      <c r="H3" s="8" t="inlineStr">
        <is>
          <t>Rijksoverheid BUIG 2024</t>
        </is>
      </c>
    </row>
    <row r="4" ht="16" customHeight="1">
      <c r="A4" s="7" t="inlineStr">
        <is>
          <t>GM0518</t>
        </is>
      </c>
      <c r="B4" s="7" t="inlineStr">
        <is>
          <t>Den Haag</t>
        </is>
      </c>
      <c r="C4" s="8" t="n">
        <v>435000000</v>
      </c>
      <c r="D4" s="8">
        <f>IF(D4&gt;0,C4/D4,"")</f>
        <v/>
      </c>
      <c r="E4" s="8" t="n">
        <v>48000000</v>
      </c>
      <c r="F4" s="8">
        <f>C4+E4</f>
        <v/>
      </c>
      <c r="G4" s="8">
        <f>IF(K4&gt;0,F4/K4,"")</f>
        <v/>
      </c>
      <c r="H4" s="8" t="inlineStr">
        <is>
          <t>Rijksoverheid BUIG 2024</t>
        </is>
      </c>
    </row>
    <row r="5" ht="16" customHeight="1">
      <c r="A5" s="7" t="inlineStr">
        <is>
          <t>GM0344</t>
        </is>
      </c>
      <c r="B5" s="7" t="inlineStr">
        <is>
          <t>Utrecht</t>
        </is>
      </c>
      <c r="C5" s="8" t="n">
        <v>162000000</v>
      </c>
      <c r="D5" s="8">
        <f>IF(D5&gt;0,C5/D5,"")</f>
        <v/>
      </c>
      <c r="E5" s="8" t="n">
        <v>18000000</v>
      </c>
      <c r="F5" s="8">
        <f>C5+E5</f>
        <v/>
      </c>
      <c r="G5" s="8">
        <f>IF(K5&gt;0,F5/K5,"")</f>
        <v/>
      </c>
      <c r="H5" s="8" t="inlineStr">
        <is>
          <t>Rijksoverheid BUIG 2024</t>
        </is>
      </c>
    </row>
    <row r="6" ht="16" customHeight="1">
      <c r="A6" s="7" t="inlineStr">
        <is>
          <t>GM0772</t>
        </is>
      </c>
      <c r="B6" s="7" t="inlineStr">
        <is>
          <t>Eindhoven</t>
        </is>
      </c>
      <c r="C6" s="8" t="n">
        <v>158000000</v>
      </c>
      <c r="D6" s="8">
        <f>IF(D6&gt;0,C6/D6,"")</f>
        <v/>
      </c>
      <c r="E6" s="8" t="n">
        <v>16000000</v>
      </c>
      <c r="F6" s="8">
        <f>C6+E6</f>
        <v/>
      </c>
      <c r="G6" s="8">
        <f>IF(K6&gt;0,F6/K6,"")</f>
        <v/>
      </c>
      <c r="H6" s="8" t="inlineStr">
        <is>
          <t>Rijksoverheid BUIG 2024</t>
        </is>
      </c>
    </row>
    <row r="7" ht="16" customHeight="1">
      <c r="A7" s="7" t="inlineStr">
        <is>
          <t>GM0392</t>
        </is>
      </c>
      <c r="B7" s="7" t="inlineStr">
        <is>
          <t>Groningen</t>
        </is>
      </c>
      <c r="C7" s="8" t="n">
        <v>196000000</v>
      </c>
      <c r="D7" s="8">
        <f>IF(D7&gt;0,C7/D7,"")</f>
        <v/>
      </c>
      <c r="E7" s="8" t="n">
        <v>22000000</v>
      </c>
      <c r="F7" s="8">
        <f>C7+E7</f>
        <v/>
      </c>
      <c r="G7" s="8">
        <f>IF(K7&gt;0,F7/K7,"")</f>
        <v/>
      </c>
      <c r="H7" s="8" t="inlineStr">
        <is>
          <t>Rijksoverheid BUIG 2024</t>
        </is>
      </c>
    </row>
    <row r="8" ht="16" customHeight="1">
      <c r="A8" s="7" t="inlineStr">
        <is>
          <t>GM0503</t>
        </is>
      </c>
      <c r="B8" s="7" t="inlineStr">
        <is>
          <t>Tilburg</t>
        </is>
      </c>
      <c r="C8" s="8" t="n">
        <v>185000000</v>
      </c>
      <c r="D8" s="8">
        <f>IF(D8&gt;0,C8/D8,"")</f>
        <v/>
      </c>
      <c r="E8" s="8" t="n">
        <v>19000000</v>
      </c>
      <c r="F8" s="8">
        <f>C8+E8</f>
        <v/>
      </c>
      <c r="G8" s="8">
        <f>IF(K8&gt;0,F8/K8,"")</f>
        <v/>
      </c>
      <c r="H8" s="8" t="inlineStr">
        <is>
          <t>Rijksoverheid BUIG 2024</t>
        </is>
      </c>
    </row>
    <row r="9" ht="16" customHeight="1">
      <c r="A9" s="7" t="inlineStr">
        <is>
          <t>GM0268</t>
        </is>
      </c>
      <c r="B9" s="7" t="inlineStr">
        <is>
          <t>Almere</t>
        </is>
      </c>
      <c r="C9" s="8" t="n">
        <v>175000000</v>
      </c>
      <c r="D9" s="8">
        <f>IF(D9&gt;0,C9/D9,"")</f>
        <v/>
      </c>
      <c r="E9" s="8" t="n">
        <v>17000000</v>
      </c>
      <c r="F9" s="8">
        <f>C9+E9</f>
        <v/>
      </c>
      <c r="G9" s="8">
        <f>IF(K9&gt;0,F9/K9,"")</f>
        <v/>
      </c>
      <c r="H9" s="8" t="inlineStr">
        <is>
          <t>Rijksoverheid BUIG 2024</t>
        </is>
      </c>
    </row>
    <row r="10" ht="16" customHeight="1">
      <c r="A10" s="7" t="inlineStr">
        <is>
          <t>GM0153</t>
        </is>
      </c>
      <c r="B10" s="7" t="inlineStr">
        <is>
          <t>Breda</t>
        </is>
      </c>
      <c r="C10" s="8" t="n">
        <v>140000000</v>
      </c>
      <c r="D10" s="8">
        <f>IF(D10&gt;0,C10/D10,"")</f>
        <v/>
      </c>
      <c r="E10" s="8" t="n">
        <v>14000000</v>
      </c>
      <c r="F10" s="8">
        <f>C10+E10</f>
        <v/>
      </c>
      <c r="G10" s="8">
        <f>IF(K10&gt;0,F10/K10,"")</f>
        <v/>
      </c>
      <c r="H10" s="8" t="inlineStr">
        <is>
          <t>Rijksoverheid BUIG 2024</t>
        </is>
      </c>
    </row>
    <row r="11" ht="16" customHeight="1">
      <c r="A11" s="7" t="inlineStr">
        <is>
          <t>GM0243</t>
        </is>
      </c>
      <c r="B11" s="7" t="inlineStr">
        <is>
          <t>Nijmegen</t>
        </is>
      </c>
      <c r="C11" s="8" t="n">
        <v>138000000</v>
      </c>
      <c r="D11" s="8">
        <f>IF(D11&gt;0,C11/D11,"")</f>
        <v/>
      </c>
      <c r="E11" s="8" t="n">
        <v>15000000</v>
      </c>
      <c r="F11" s="8">
        <f>C11+E11</f>
        <v/>
      </c>
      <c r="G11" s="8">
        <f>IF(K11&gt;0,F11/K11,"")</f>
        <v/>
      </c>
      <c r="H11" s="8" t="inlineStr">
        <is>
          <t>Rijksoverheid BUIG 2024</t>
        </is>
      </c>
    </row>
    <row r="12" ht="16" customHeight="1">
      <c r="A12" s="7" t="inlineStr">
        <is>
          <t>GM0034</t>
        </is>
      </c>
      <c r="B12" s="7" t="inlineStr">
        <is>
          <t>Apeldoorn</t>
        </is>
      </c>
      <c r="C12" s="8" t="n">
        <v>116000000</v>
      </c>
      <c r="D12" s="8">
        <f>IF(D12&gt;0,C12/D12,"")</f>
        <v/>
      </c>
      <c r="E12" s="8" t="n">
        <v>12000000</v>
      </c>
      <c r="F12" s="8">
        <f>C12+E12</f>
        <v/>
      </c>
      <c r="G12" s="8">
        <f>IF(K12&gt;0,F12/K12,"")</f>
        <v/>
      </c>
      <c r="H12" s="8" t="inlineStr">
        <is>
          <t>Rijksoverheid BUIG 2024</t>
        </is>
      </c>
    </row>
    <row r="13" ht="16" customHeight="1">
      <c r="A13" s="7" t="inlineStr">
        <is>
          <t>GM0796</t>
        </is>
      </c>
      <c r="B13" s="7" t="inlineStr">
        <is>
          <t>Haarlem</t>
        </is>
      </c>
      <c r="C13" s="8" t="n">
        <v>113000000</v>
      </c>
      <c r="D13" s="8">
        <f>IF(D13&gt;0,C13/D13,"")</f>
        <v/>
      </c>
      <c r="E13" s="8" t="n">
        <v>11000000</v>
      </c>
      <c r="F13" s="8">
        <f>C13+E13</f>
        <v/>
      </c>
      <c r="G13" s="8">
        <f>IF(K13&gt;0,F13/K13,"")</f>
        <v/>
      </c>
      <c r="H13" s="8" t="inlineStr">
        <is>
          <t>Rijksoverheid BUIG 2024</t>
        </is>
      </c>
    </row>
    <row r="14" ht="16" customHeight="1">
      <c r="A14" s="7" t="inlineStr">
        <is>
          <t>GM0060</t>
        </is>
      </c>
      <c r="B14" s="7" t="inlineStr">
        <is>
          <t>Arnhem</t>
        </is>
      </c>
      <c r="C14" s="8" t="n">
        <v>150000000</v>
      </c>
      <c r="D14" s="8">
        <f>IF(D14&gt;0,C14/D14,"")</f>
        <v/>
      </c>
      <c r="E14" s="8" t="n">
        <v>16000000</v>
      </c>
      <c r="F14" s="8">
        <f>C14+E14</f>
        <v/>
      </c>
      <c r="G14" s="8">
        <f>IF(K14&gt;0,F14/K14,"")</f>
        <v/>
      </c>
      <c r="H14" s="8" t="inlineStr">
        <is>
          <t>Rijksoverheid BUIG 2024</t>
        </is>
      </c>
    </row>
    <row r="15" ht="16" customHeight="1">
      <c r="A15" s="7" t="inlineStr">
        <is>
          <t>GM0394</t>
        </is>
      </c>
      <c r="B15" s="7" t="inlineStr">
        <is>
          <t>Enschede</t>
        </is>
      </c>
      <c r="C15" s="8" t="n">
        <v>156000000</v>
      </c>
      <c r="D15" s="8">
        <f>IF(D15&gt;0,C15/D15,"")</f>
        <v/>
      </c>
      <c r="E15" s="8" t="n">
        <v>17000000</v>
      </c>
      <c r="F15" s="8">
        <f>C15+E15</f>
        <v/>
      </c>
      <c r="G15" s="8">
        <f>IF(K15&gt;0,F15/K15,"")</f>
        <v/>
      </c>
      <c r="H15" s="8" t="inlineStr">
        <is>
          <t>Rijksoverheid BUIG 2024</t>
        </is>
      </c>
    </row>
    <row r="16" ht="16" customHeight="1">
      <c r="A16" s="7" t="inlineStr">
        <is>
          <t>GM0882</t>
        </is>
      </c>
      <c r="B16" s="7" t="inlineStr">
        <is>
          <t>Haarlemmermeer</t>
        </is>
      </c>
      <c r="C16" s="8" t="n">
        <v>72000000</v>
      </c>
      <c r="D16" s="8">
        <f>IF(D16&gt;0,C16/D16,"")</f>
        <v/>
      </c>
      <c r="E16" s="8" t="n">
        <v>8000000</v>
      </c>
      <c r="F16" s="8">
        <f>C16+E16</f>
        <v/>
      </c>
      <c r="G16" s="8">
        <f>IF(K16&gt;0,F16/K16,"")</f>
        <v/>
      </c>
      <c r="H16" s="8" t="inlineStr">
        <is>
          <t>Rijksoverheid BUIG 2024</t>
        </is>
      </c>
    </row>
    <row r="17" ht="16" customHeight="1">
      <c r="A17" s="7" t="inlineStr">
        <is>
          <t>GM0797</t>
        </is>
      </c>
      <c r="B17" s="7" t="inlineStr">
        <is>
          <t>'s-Hertogenbosch</t>
        </is>
      </c>
      <c r="C17" s="8" t="n">
        <v>98000000</v>
      </c>
      <c r="D17" s="8">
        <f>IF(D17&gt;0,C17/D17,"")</f>
        <v/>
      </c>
      <c r="E17" s="8" t="n">
        <v>11000000</v>
      </c>
      <c r="F17" s="8">
        <f>C17+E17</f>
        <v/>
      </c>
      <c r="G17" s="8">
        <f>IF(K17&gt;0,F17/K17,"")</f>
        <v/>
      </c>
      <c r="H17" s="8" t="inlineStr">
        <is>
          <t>Rijksoverheid BUIG 2024</t>
        </is>
      </c>
    </row>
    <row r="18" ht="16" customHeight="1">
      <c r="A18" s="7" t="inlineStr">
        <is>
          <t>GM0867</t>
        </is>
      </c>
      <c r="B18" s="7" t="inlineStr">
        <is>
          <t>Zwolle</t>
        </is>
      </c>
      <c r="C18" s="8" t="n">
        <v>89000000</v>
      </c>
      <c r="D18" s="8">
        <f>IF(D18&gt;0,C18/D18,"")</f>
        <v/>
      </c>
      <c r="E18" s="8" t="n">
        <v>9000000</v>
      </c>
      <c r="F18" s="8">
        <f>C18+E18</f>
        <v/>
      </c>
      <c r="G18" s="8">
        <f>IF(K18&gt;0,F18/K18,"")</f>
        <v/>
      </c>
      <c r="H18" s="8" t="inlineStr">
        <is>
          <t>Rijksoverheid BUIG 2024</t>
        </is>
      </c>
    </row>
    <row r="19" ht="16" customHeight="1">
      <c r="A19" s="7" t="inlineStr">
        <is>
          <t>GM0050</t>
        </is>
      </c>
      <c r="B19" s="7" t="inlineStr">
        <is>
          <t>Amersfoort</t>
        </is>
      </c>
      <c r="C19" s="8" t="n">
        <v>99000000</v>
      </c>
      <c r="D19" s="8">
        <f>IF(D19&gt;0,C19/D19,"")</f>
        <v/>
      </c>
      <c r="E19" s="8" t="n">
        <v>10000000</v>
      </c>
      <c r="F19" s="8">
        <f>C19+E19</f>
        <v/>
      </c>
      <c r="G19" s="8">
        <f>IF(K19&gt;0,F19/K19,"")</f>
        <v/>
      </c>
      <c r="H19" s="8" t="inlineStr">
        <is>
          <t>Rijksoverheid BUIG 2024</t>
        </is>
      </c>
    </row>
    <row r="20" ht="16" customHeight="1">
      <c r="A20" s="7" t="inlineStr">
        <is>
          <t>GM0200</t>
        </is>
      </c>
      <c r="B20" s="7" t="inlineStr">
        <is>
          <t>Zoetermeer</t>
        </is>
      </c>
      <c r="C20" s="8" t="n">
        <v>101000000</v>
      </c>
      <c r="D20" s="8">
        <f>IF(D20&gt;0,C20/D20,"")</f>
        <v/>
      </c>
      <c r="E20" s="8" t="n">
        <v>10000000</v>
      </c>
      <c r="F20" s="8">
        <f>C20+E20</f>
        <v/>
      </c>
      <c r="G20" s="8">
        <f>IF(K20&gt;0,F20/K20,"")</f>
        <v/>
      </c>
      <c r="H20" s="8" t="inlineStr">
        <is>
          <t>Rijksoverheid BUIG 2024</t>
        </is>
      </c>
    </row>
    <row r="21" ht="16" customHeight="1">
      <c r="A21" s="7" t="inlineStr">
        <is>
          <t>GM0626</t>
        </is>
      </c>
      <c r="B21" s="7" t="inlineStr">
        <is>
          <t>Maastricht</t>
        </is>
      </c>
      <c r="C21" s="8" t="n">
        <v>116000000</v>
      </c>
      <c r="D21" s="8">
        <f>IF(D21&gt;0,C21/D21,"")</f>
        <v/>
      </c>
      <c r="E21" s="8" t="n">
        <v>13000000</v>
      </c>
      <c r="F21" s="8">
        <f>C21+E21</f>
        <v/>
      </c>
      <c r="G21" s="8">
        <f>IF(K21&gt;0,F21/K21,"")</f>
        <v/>
      </c>
      <c r="H21" s="8" t="inlineStr">
        <is>
          <t>Rijksoverheid BUIG 2024</t>
        </is>
      </c>
    </row>
    <row r="22" ht="16" customHeight="1">
      <c r="A22" s="7" t="inlineStr">
        <is>
          <t>GM0302</t>
        </is>
      </c>
      <c r="B22" s="7" t="inlineStr">
        <is>
          <t>Leiden</t>
        </is>
      </c>
      <c r="C22" s="8" t="n">
        <v>96000000</v>
      </c>
      <c r="D22" s="8">
        <f>IF(D22&gt;0,C22/D22,"")</f>
        <v/>
      </c>
      <c r="E22" s="8" t="n">
        <v>10000000</v>
      </c>
      <c r="F22" s="8">
        <f>C22+E22</f>
        <v/>
      </c>
      <c r="G22" s="8">
        <f>IF(K22&gt;0,F22/K22,"")</f>
        <v/>
      </c>
      <c r="H22" s="8" t="inlineStr">
        <is>
          <t>Rijksoverheid BUIG 2024</t>
        </is>
      </c>
    </row>
    <row r="23" ht="16" customHeight="1">
      <c r="A23" s="7" t="inlineStr">
        <is>
          <t>GM0484</t>
        </is>
      </c>
      <c r="B23" s="7" t="inlineStr">
        <is>
          <t>Dordrecht</t>
        </is>
      </c>
      <c r="C23" s="8" t="n">
        <v>113000000</v>
      </c>
      <c r="D23" s="8">
        <f>IF(D23&gt;0,C23/D23,"")</f>
        <v/>
      </c>
      <c r="E23" s="8" t="n">
        <v>12000000</v>
      </c>
      <c r="F23" s="8">
        <f>C23+E23</f>
        <v/>
      </c>
      <c r="G23" s="8">
        <f>IF(K23&gt;0,F23/K23,"")</f>
        <v/>
      </c>
      <c r="H23" s="8" t="inlineStr">
        <is>
          <t>Rijksoverheid BUIG 2024</t>
        </is>
      </c>
    </row>
    <row r="24" ht="16" customHeight="1">
      <c r="A24" s="7" t="inlineStr">
        <is>
          <t>GM0307</t>
        </is>
      </c>
      <c r="B24" s="7" t="inlineStr">
        <is>
          <t>Westland</t>
        </is>
      </c>
      <c r="C24" s="8" t="n">
        <v>48000000</v>
      </c>
      <c r="D24" s="8">
        <f>IF(D24&gt;0,C24/D24,"")</f>
        <v/>
      </c>
      <c r="E24" s="8" t="n">
        <v>5000000</v>
      </c>
      <c r="F24" s="8">
        <f>C24+E24</f>
        <v/>
      </c>
      <c r="G24" s="8">
        <f>IF(K24&gt;0,F24/K24,"")</f>
        <v/>
      </c>
      <c r="H24" s="8" t="inlineStr">
        <is>
          <t>Rijksoverheid BUIG 2024</t>
        </is>
      </c>
    </row>
    <row r="25" ht="16" customHeight="1">
      <c r="A25" s="7" t="inlineStr">
        <is>
          <t>GM0080</t>
        </is>
      </c>
      <c r="B25" s="7" t="inlineStr">
        <is>
          <t>Deventer</t>
        </is>
      </c>
      <c r="C25" s="8" t="n">
        <v>87000000</v>
      </c>
      <c r="D25" s="8">
        <f>IF(D25&gt;0,C25/D25,"")</f>
        <v/>
      </c>
      <c r="E25" s="8" t="n">
        <v>9000000</v>
      </c>
      <c r="F25" s="8">
        <f>C25+E25</f>
        <v/>
      </c>
      <c r="G25" s="8">
        <f>IF(K25&gt;0,F25/K25,"")</f>
        <v/>
      </c>
      <c r="H25" s="8" t="inlineStr">
        <is>
          <t>Rijksoverheid BUIG 2024</t>
        </is>
      </c>
    </row>
    <row r="26" ht="16" customHeight="1">
      <c r="A26" s="7" t="inlineStr">
        <is>
          <t>GM0632</t>
        </is>
      </c>
      <c r="B26" s="7" t="inlineStr">
        <is>
          <t>Sittard-Geleen</t>
        </is>
      </c>
      <c r="C26" s="8" t="n">
        <v>82000000</v>
      </c>
      <c r="D26" s="8">
        <f>IF(D26&gt;0,C26/D26,"")</f>
        <v/>
      </c>
      <c r="E26" s="8" t="n">
        <v>9000000</v>
      </c>
      <c r="F26" s="8">
        <f>C26+E26</f>
        <v/>
      </c>
      <c r="G26" s="8">
        <f>IF(K26&gt;0,F26/K26,"")</f>
        <v/>
      </c>
      <c r="H26" s="8" t="inlineStr">
        <is>
          <t>Rijksoverheid BUIG 2024</t>
        </is>
      </c>
    </row>
    <row r="27" ht="16" customHeight="1">
      <c r="A27" s="9" t="n"/>
      <c r="B27" s="9" t="n"/>
      <c r="C27" s="10" t="n"/>
      <c r="D27" s="10">
        <f>IF(D27&gt;0,C27/D27,"")</f>
        <v/>
      </c>
      <c r="E27" s="10" t="n"/>
      <c r="F27" s="10">
        <f>C27+E27</f>
        <v/>
      </c>
      <c r="G27" s="10">
        <f>IF(K27&gt;0,F27/K27,"")</f>
        <v/>
      </c>
      <c r="H27" s="10" t="n"/>
    </row>
    <row r="28" ht="16" customHeight="1">
      <c r="A28" s="9" t="n"/>
      <c r="B28" s="9" t="n"/>
      <c r="C28" s="10" t="n"/>
      <c r="D28" s="10">
        <f>IF(D28&gt;0,C28/D28,"")</f>
        <v/>
      </c>
      <c r="E28" s="10" t="n"/>
      <c r="F28" s="10">
        <f>C28+E28</f>
        <v/>
      </c>
      <c r="G28" s="10">
        <f>IF(K28&gt;0,F28/K28,"")</f>
        <v/>
      </c>
      <c r="H28" s="10" t="n"/>
    </row>
    <row r="29" ht="16" customHeight="1">
      <c r="A29" s="9" t="n"/>
      <c r="B29" s="9" t="n"/>
      <c r="C29" s="10" t="n"/>
      <c r="D29" s="10">
        <f>IF(D29&gt;0,C29/D29,"")</f>
        <v/>
      </c>
      <c r="E29" s="10" t="n"/>
      <c r="F29" s="10">
        <f>C29+E29</f>
        <v/>
      </c>
      <c r="G29" s="10">
        <f>IF(K29&gt;0,F29/K29,"")</f>
        <v/>
      </c>
      <c r="H29" s="10" t="n"/>
    </row>
    <row r="30" ht="16" customHeight="1">
      <c r="A30" s="9" t="n"/>
      <c r="B30" s="9" t="n"/>
      <c r="C30" s="10" t="n"/>
      <c r="D30" s="10">
        <f>IF(D30&gt;0,C30/D30,"")</f>
        <v/>
      </c>
      <c r="E30" s="10" t="n"/>
      <c r="F30" s="10">
        <f>C30+E30</f>
        <v/>
      </c>
      <c r="G30" s="10">
        <f>IF(K30&gt;0,F30/K30,"")</f>
        <v/>
      </c>
      <c r="H30" s="10" t="n"/>
    </row>
    <row r="31" ht="16" customHeight="1">
      <c r="A31" s="9" t="n"/>
      <c r="B31" s="9" t="n"/>
      <c r="C31" s="10" t="n"/>
      <c r="D31" s="10">
        <f>IF(D31&gt;0,C31/D31,"")</f>
        <v/>
      </c>
      <c r="E31" s="10" t="n"/>
      <c r="F31" s="10">
        <f>C31+E31</f>
        <v/>
      </c>
      <c r="G31" s="10">
        <f>IF(K31&gt;0,F31/K31,"")</f>
        <v/>
      </c>
      <c r="H31" s="10" t="n"/>
    </row>
    <row r="32" ht="16" customHeight="1">
      <c r="A32" s="9" t="n"/>
      <c r="B32" s="9" t="n"/>
      <c r="C32" s="10" t="n"/>
      <c r="D32" s="10">
        <f>IF(D32&gt;0,C32/D32,"")</f>
        <v/>
      </c>
      <c r="E32" s="10" t="n"/>
      <c r="F32" s="10">
        <f>C32+E32</f>
        <v/>
      </c>
      <c r="G32" s="10">
        <f>IF(K32&gt;0,F32/K32,"")</f>
        <v/>
      </c>
      <c r="H32" s="10" t="n"/>
    </row>
    <row r="33" ht="16" customHeight="1">
      <c r="A33" s="9" t="n"/>
      <c r="B33" s="9" t="n"/>
      <c r="C33" s="10" t="n"/>
      <c r="D33" s="10">
        <f>IF(D33&gt;0,C33/D33,"")</f>
        <v/>
      </c>
      <c r="E33" s="10" t="n"/>
      <c r="F33" s="10">
        <f>C33+E33</f>
        <v/>
      </c>
      <c r="G33" s="10">
        <f>IF(K33&gt;0,F33/K33,"")</f>
        <v/>
      </c>
      <c r="H33" s="10" t="n"/>
    </row>
    <row r="34" ht="16" customHeight="1">
      <c r="A34" s="9" t="n"/>
      <c r="B34" s="9" t="n"/>
      <c r="C34" s="10" t="n"/>
      <c r="D34" s="10">
        <f>IF(D34&gt;0,C34/D34,"")</f>
        <v/>
      </c>
      <c r="E34" s="10" t="n"/>
      <c r="F34" s="10">
        <f>C34+E34</f>
        <v/>
      </c>
      <c r="G34" s="10">
        <f>IF(K34&gt;0,F34/K34,"")</f>
        <v/>
      </c>
      <c r="H34" s="10" t="n"/>
    </row>
    <row r="35" ht="16" customHeight="1">
      <c r="A35" s="9" t="n"/>
      <c r="B35" s="9" t="n"/>
      <c r="C35" s="10" t="n"/>
      <c r="D35" s="10">
        <f>IF(D35&gt;0,C35/D35,"")</f>
        <v/>
      </c>
      <c r="E35" s="10" t="n"/>
      <c r="F35" s="10">
        <f>C35+E35</f>
        <v/>
      </c>
      <c r="G35" s="10">
        <f>IF(K35&gt;0,F35/K35,"")</f>
        <v/>
      </c>
      <c r="H35" s="10" t="n"/>
    </row>
    <row r="36" ht="16" customHeight="1">
      <c r="A36" s="9" t="n"/>
      <c r="B36" s="9" t="n"/>
      <c r="C36" s="10" t="n"/>
      <c r="D36" s="10">
        <f>IF(D36&gt;0,C36/D36,"")</f>
        <v/>
      </c>
      <c r="E36" s="10" t="n"/>
      <c r="F36" s="10">
        <f>C36+E36</f>
        <v/>
      </c>
      <c r="G36" s="10">
        <f>IF(K36&gt;0,F36/K36,"")</f>
        <v/>
      </c>
      <c r="H36" s="10" t="n"/>
    </row>
    <row r="37" ht="16" customHeight="1">
      <c r="A37" s="9" t="n"/>
      <c r="B37" s="9" t="n"/>
      <c r="C37" s="10" t="n"/>
      <c r="D37" s="10">
        <f>IF(D37&gt;0,C37/D37,"")</f>
        <v/>
      </c>
      <c r="E37" s="10" t="n"/>
      <c r="F37" s="10">
        <f>C37+E37</f>
        <v/>
      </c>
      <c r="G37" s="10">
        <f>IF(K37&gt;0,F37/K37,"")</f>
        <v/>
      </c>
      <c r="H37" s="10" t="n"/>
    </row>
    <row r="38" ht="16" customHeight="1">
      <c r="A38" s="9" t="n"/>
      <c r="B38" s="9" t="n"/>
      <c r="C38" s="10" t="n"/>
      <c r="D38" s="10">
        <f>IF(D38&gt;0,C38/D38,"")</f>
        <v/>
      </c>
      <c r="E38" s="10" t="n"/>
      <c r="F38" s="10">
        <f>C38+E38</f>
        <v/>
      </c>
      <c r="G38" s="10">
        <f>IF(K38&gt;0,F38/K38,"")</f>
        <v/>
      </c>
      <c r="H38" s="10" t="n"/>
    </row>
    <row r="39" ht="16" customHeight="1">
      <c r="A39" s="9" t="n"/>
      <c r="B39" s="9" t="n"/>
      <c r="C39" s="10" t="n"/>
      <c r="D39" s="10">
        <f>IF(D39&gt;0,C39/D39,"")</f>
        <v/>
      </c>
      <c r="E39" s="10" t="n"/>
      <c r="F39" s="10">
        <f>C39+E39</f>
        <v/>
      </c>
      <c r="G39" s="10">
        <f>IF(K39&gt;0,F39/K39,"")</f>
        <v/>
      </c>
      <c r="H39" s="10" t="n"/>
    </row>
    <row r="40" ht="16" customHeight="1">
      <c r="A40" s="9" t="n"/>
      <c r="B40" s="9" t="n"/>
      <c r="C40" s="10" t="n"/>
      <c r="D40" s="10">
        <f>IF(D40&gt;0,C40/D40,"")</f>
        <v/>
      </c>
      <c r="E40" s="10" t="n"/>
      <c r="F40" s="10">
        <f>C40+E40</f>
        <v/>
      </c>
      <c r="G40" s="10">
        <f>IF(K40&gt;0,F40/K40,"")</f>
        <v/>
      </c>
      <c r="H40" s="10" t="n"/>
    </row>
    <row r="41" ht="16" customHeight="1">
      <c r="A41" s="9" t="n"/>
      <c r="B41" s="9" t="n"/>
      <c r="C41" s="10" t="n"/>
      <c r="D41" s="10">
        <f>IF(D41&gt;0,C41/D41,"")</f>
        <v/>
      </c>
      <c r="E41" s="10" t="n"/>
      <c r="F41" s="10">
        <f>C41+E41</f>
        <v/>
      </c>
      <c r="G41" s="10">
        <f>IF(K41&gt;0,F41/K41,"")</f>
        <v/>
      </c>
      <c r="H41" s="10" t="n"/>
    </row>
    <row r="42" ht="16" customHeight="1">
      <c r="A42" s="9" t="n"/>
      <c r="B42" s="9" t="n"/>
      <c r="C42" s="10" t="n"/>
      <c r="D42" s="10">
        <f>IF(D42&gt;0,C42/D42,"")</f>
        <v/>
      </c>
      <c r="E42" s="10" t="n"/>
      <c r="F42" s="10">
        <f>C42+E42</f>
        <v/>
      </c>
      <c r="G42" s="10">
        <f>IF(K42&gt;0,F42/K42,"")</f>
        <v/>
      </c>
      <c r="H42" s="10" t="n"/>
    </row>
    <row r="43" ht="16" customHeight="1">
      <c r="A43" s="9" t="n"/>
      <c r="B43" s="9" t="n"/>
      <c r="C43" s="10" t="n"/>
      <c r="D43" s="10">
        <f>IF(D43&gt;0,C43/D43,"")</f>
        <v/>
      </c>
      <c r="E43" s="10" t="n"/>
      <c r="F43" s="10">
        <f>C43+E43</f>
        <v/>
      </c>
      <c r="G43" s="10">
        <f>IF(K43&gt;0,F43/K43,"")</f>
        <v/>
      </c>
      <c r="H43" s="10" t="n"/>
    </row>
    <row r="44" ht="16" customHeight="1">
      <c r="A44" s="9" t="n"/>
      <c r="B44" s="9" t="n"/>
      <c r="C44" s="10" t="n"/>
      <c r="D44" s="10">
        <f>IF(D44&gt;0,C44/D44,"")</f>
        <v/>
      </c>
      <c r="E44" s="10" t="n"/>
      <c r="F44" s="10">
        <f>C44+E44</f>
        <v/>
      </c>
      <c r="G44" s="10">
        <f>IF(K44&gt;0,F44/K44,"")</f>
        <v/>
      </c>
      <c r="H44" s="10" t="n"/>
    </row>
    <row r="45" ht="16" customHeight="1">
      <c r="A45" s="9" t="n"/>
      <c r="B45" s="9" t="n"/>
      <c r="C45" s="10" t="n"/>
      <c r="D45" s="10">
        <f>IF(D45&gt;0,C45/D45,"")</f>
        <v/>
      </c>
      <c r="E45" s="10" t="n"/>
      <c r="F45" s="10">
        <f>C45+E45</f>
        <v/>
      </c>
      <c r="G45" s="10">
        <f>IF(K45&gt;0,F45/K45,"")</f>
        <v/>
      </c>
      <c r="H45" s="10" t="n"/>
    </row>
    <row r="46" ht="16" customHeight="1">
      <c r="A46" s="9" t="n"/>
      <c r="B46" s="9" t="n"/>
      <c r="C46" s="10" t="n"/>
      <c r="D46" s="10">
        <f>IF(D46&gt;0,C46/D46,"")</f>
        <v/>
      </c>
      <c r="E46" s="10" t="n"/>
      <c r="F46" s="10">
        <f>C46+E46</f>
        <v/>
      </c>
      <c r="G46" s="10">
        <f>IF(K46&gt;0,F46/K46,"")</f>
        <v/>
      </c>
      <c r="H46" s="10" t="n"/>
    </row>
    <row r="47" ht="16" customHeight="1">
      <c r="A47" s="9" t="n"/>
      <c r="B47" s="9" t="n"/>
      <c r="C47" s="10" t="n"/>
      <c r="D47" s="10">
        <f>IF(D47&gt;0,C47/D47,"")</f>
        <v/>
      </c>
      <c r="E47" s="10" t="n"/>
      <c r="F47" s="10">
        <f>C47+E47</f>
        <v/>
      </c>
      <c r="G47" s="10">
        <f>IF(K47&gt;0,F47/K47,"")</f>
        <v/>
      </c>
      <c r="H47" s="10" t="n"/>
    </row>
    <row r="48" ht="16" customHeight="1">
      <c r="A48" s="9" t="n"/>
      <c r="B48" s="9" t="n"/>
      <c r="C48" s="10" t="n"/>
      <c r="D48" s="10">
        <f>IF(D48&gt;0,C48/D48,"")</f>
        <v/>
      </c>
      <c r="E48" s="10" t="n"/>
      <c r="F48" s="10">
        <f>C48+E48</f>
        <v/>
      </c>
      <c r="G48" s="10">
        <f>IF(K48&gt;0,F48/K48,"")</f>
        <v/>
      </c>
      <c r="H48" s="10" t="n"/>
    </row>
    <row r="49" ht="16" customHeight="1">
      <c r="A49" s="9" t="n"/>
      <c r="B49" s="9" t="n"/>
      <c r="C49" s="10" t="n"/>
      <c r="D49" s="10">
        <f>IF(D49&gt;0,C49/D49,"")</f>
        <v/>
      </c>
      <c r="E49" s="10" t="n"/>
      <c r="F49" s="10">
        <f>C49+E49</f>
        <v/>
      </c>
      <c r="G49" s="10">
        <f>IF(K49&gt;0,F49/K49,"")</f>
        <v/>
      </c>
      <c r="H49" s="10" t="n"/>
    </row>
    <row r="50" ht="16" customHeight="1">
      <c r="A50" s="9" t="n"/>
      <c r="B50" s="9" t="n"/>
      <c r="C50" s="10" t="n"/>
      <c r="D50" s="10">
        <f>IF(D50&gt;0,C50/D50,"")</f>
        <v/>
      </c>
      <c r="E50" s="10" t="n"/>
      <c r="F50" s="10">
        <f>C50+E50</f>
        <v/>
      </c>
      <c r="G50" s="10">
        <f>IF(K50&gt;0,F50/K50,"")</f>
        <v/>
      </c>
      <c r="H50" s="10" t="n"/>
    </row>
    <row r="51" ht="16" customHeight="1">
      <c r="A51" s="9" t="n"/>
      <c r="B51" s="9" t="n"/>
      <c r="C51" s="10" t="n"/>
      <c r="D51" s="10">
        <f>IF(D51&gt;0,C51/D51,"")</f>
        <v/>
      </c>
      <c r="E51" s="10" t="n"/>
      <c r="F51" s="10">
        <f>C51+E51</f>
        <v/>
      </c>
      <c r="G51" s="10">
        <f>IF(K51&gt;0,F51/K51,"")</f>
        <v/>
      </c>
      <c r="H51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8" customWidth="1" min="3" max="3"/>
    <col width="22" customWidth="1" min="4" max="4"/>
    <col width="25" customWidth="1" min="5" max="5"/>
    <col width="22" customWidth="1" min="6" max="6"/>
    <col width="25" customWidth="1" min="7" max="7"/>
    <col width="14" customWidth="1" min="8" max="8"/>
    <col width="25" customWidth="1" min="9" max="9"/>
  </cols>
  <sheetData>
    <row r="1" ht="36" customHeight="1">
      <c r="A1" s="14" t="inlineStr">
        <is>
          <t>GM-code</t>
        </is>
      </c>
      <c r="B1" s="14" t="inlineStr">
        <is>
          <t>Gemeente</t>
        </is>
      </c>
      <c r="C1" s="14" t="inlineStr">
        <is>
          <t>Naam instelling</t>
        </is>
      </c>
      <c r="D1" s="14" t="inlineStr">
        <is>
          <t>Type</t>
        </is>
      </c>
      <c r="E1" s="14" t="inlineStr">
        <is>
          <t>Website</t>
        </is>
      </c>
      <c r="F1" s="14" t="inlineStr">
        <is>
          <t>Contactpersoon</t>
        </is>
      </c>
      <c r="G1" s="14" t="inlineStr">
        <is>
          <t>E-mail</t>
        </is>
      </c>
      <c r="H1" s="14" t="inlineStr">
        <is>
          <t>Tel.</t>
        </is>
      </c>
      <c r="I1" s="14" t="inlineStr">
        <is>
          <t>Opmerkingen</t>
        </is>
      </c>
    </row>
    <row r="2" ht="16" customHeight="1">
      <c r="A2" s="7" t="inlineStr">
        <is>
          <t>GM0363</t>
        </is>
      </c>
      <c r="B2" s="7" t="inlineStr">
        <is>
          <t>Amsterdam</t>
        </is>
      </c>
      <c r="C2" s="8" t="inlineStr">
        <is>
          <t>Amsterdam Werkt</t>
        </is>
      </c>
      <c r="D2" s="8" t="inlineStr">
        <is>
          <t>Gemeentelijke dienst</t>
        </is>
      </c>
      <c r="E2" s="8" t="inlineStr">
        <is>
          <t>https://www.amsterdam.nl/werk</t>
        </is>
      </c>
      <c r="F2" s="8" t="inlineStr"/>
      <c r="G2" s="8" t="inlineStr"/>
      <c r="H2" s="8" t="inlineStr"/>
      <c r="I2" s="8" t="inlineStr"/>
    </row>
    <row r="3" ht="16" customHeight="1">
      <c r="A3" s="7" t="inlineStr">
        <is>
          <t>GM0363</t>
        </is>
      </c>
      <c r="B3" s="7" t="inlineStr">
        <is>
          <t>Amsterdam</t>
        </is>
      </c>
      <c r="C3" s="8" t="inlineStr">
        <is>
          <t>Pantar Amsterdam</t>
        </is>
      </c>
      <c r="D3" s="8" t="inlineStr">
        <is>
          <t>SW-bedrijf</t>
        </is>
      </c>
      <c r="E3" s="8" t="inlineStr">
        <is>
          <t>https://www.pantar.nl</t>
        </is>
      </c>
      <c r="F3" s="8" t="inlineStr"/>
      <c r="G3" s="8" t="inlineStr"/>
      <c r="H3" s="8" t="inlineStr"/>
      <c r="I3" s="8" t="inlineStr"/>
    </row>
    <row r="4" ht="16" customHeight="1">
      <c r="A4" s="7" t="inlineStr">
        <is>
          <t>GM0363</t>
        </is>
      </c>
      <c r="B4" s="7" t="inlineStr">
        <is>
          <t>Amsterdam</t>
        </is>
      </c>
      <c r="C4" s="8" t="inlineStr">
        <is>
          <t>UWV Werkbedrijf Amsterdam</t>
        </is>
      </c>
      <c r="D4" s="8" t="inlineStr">
        <is>
          <t>UWV</t>
        </is>
      </c>
      <c r="E4" s="8" t="inlineStr">
        <is>
          <t>https://www.uwv.nl</t>
        </is>
      </c>
      <c r="F4" s="8" t="inlineStr"/>
      <c r="G4" s="8" t="inlineStr"/>
      <c r="H4" s="8" t="inlineStr"/>
      <c r="I4" s="8" t="inlineStr"/>
    </row>
    <row r="5" ht="16" customHeight="1">
      <c r="A5" s="7" t="inlineStr">
        <is>
          <t>GM0599</t>
        </is>
      </c>
      <c r="B5" s="7" t="inlineStr">
        <is>
          <t>Rotterdam</t>
        </is>
      </c>
      <c r="C5" s="8" t="inlineStr">
        <is>
          <t>WSP Rijnmond</t>
        </is>
      </c>
      <c r="D5" s="8" t="inlineStr">
        <is>
          <t>WSP</t>
        </is>
      </c>
      <c r="E5" s="8" t="inlineStr">
        <is>
          <t>https://www.wspmetroregion.nl</t>
        </is>
      </c>
      <c r="F5" s="8" t="inlineStr"/>
      <c r="G5" s="8" t="inlineStr"/>
      <c r="H5" s="8" t="inlineStr"/>
      <c r="I5" s="8" t="inlineStr"/>
    </row>
    <row r="6" ht="16" customHeight="1">
      <c r="A6" s="7" t="inlineStr">
        <is>
          <t>GM0599</t>
        </is>
      </c>
      <c r="B6" s="7" t="inlineStr">
        <is>
          <t>Rotterdam</t>
        </is>
      </c>
      <c r="C6" s="8" t="inlineStr">
        <is>
          <t>Stichting Mens en Verkeer</t>
        </is>
      </c>
      <c r="D6" s="8" t="inlineStr">
        <is>
          <t>Uitvoeringsorg.</t>
        </is>
      </c>
      <c r="E6" s="8" t="inlineStr"/>
      <c r="F6" s="8" t="inlineStr">
        <is>
          <t>Rob</t>
        </is>
      </c>
      <c r="G6" s="8" t="inlineStr">
        <is>
          <t>rob@mensEnverkeer.nl</t>
        </is>
      </c>
      <c r="H6" s="8" t="inlineStr"/>
      <c r="I6" s="8" t="inlineStr">
        <is>
          <t>Partner Waardewerk</t>
        </is>
      </c>
    </row>
    <row r="7" ht="16" customHeight="1">
      <c r="A7" s="7" t="inlineStr">
        <is>
          <t>GM0599</t>
        </is>
      </c>
      <c r="B7" s="7" t="inlineStr">
        <is>
          <t>Rotterdam</t>
        </is>
      </c>
      <c r="C7" s="8" t="inlineStr">
        <is>
          <t>Stroomopwaarts MVS</t>
        </is>
      </c>
      <c r="D7" s="8" t="inlineStr">
        <is>
          <t>Sociaal domein</t>
        </is>
      </c>
      <c r="E7" s="8" t="inlineStr">
        <is>
          <t>https://www.stroomopwaarts.nl</t>
        </is>
      </c>
      <c r="F7" s="8" t="inlineStr"/>
      <c r="G7" s="8" t="inlineStr"/>
      <c r="H7" s="8" t="inlineStr"/>
      <c r="I7" s="8" t="inlineStr"/>
    </row>
    <row r="8" ht="16" customHeight="1">
      <c r="A8" s="7" t="inlineStr">
        <is>
          <t>GM0518</t>
        </is>
      </c>
      <c r="B8" s="7" t="inlineStr">
        <is>
          <t>Den Haag</t>
        </is>
      </c>
      <c r="C8" s="8" t="inlineStr">
        <is>
          <t>Werkgeversservicepunt Haaglanden</t>
        </is>
      </c>
      <c r="D8" s="8" t="inlineStr">
        <is>
          <t>WSP</t>
        </is>
      </c>
      <c r="E8" s="8" t="inlineStr"/>
      <c r="F8" s="8" t="inlineStr"/>
      <c r="G8" s="8" t="inlineStr"/>
      <c r="H8" s="8" t="inlineStr"/>
      <c r="I8" s="8" t="inlineStr"/>
    </row>
    <row r="9" ht="16" customHeight="1">
      <c r="A9" s="7" t="inlineStr">
        <is>
          <t>GM0344</t>
        </is>
      </c>
      <c r="B9" s="7" t="inlineStr">
        <is>
          <t>Utrecht</t>
        </is>
      </c>
      <c r="C9" s="8" t="inlineStr">
        <is>
          <t>Werk &amp; Inkomen Utrecht</t>
        </is>
      </c>
      <c r="D9" s="8" t="inlineStr">
        <is>
          <t>Gemeentelijke dienst</t>
        </is>
      </c>
      <c r="E9" s="8" t="inlineStr"/>
      <c r="F9" s="8" t="inlineStr"/>
      <c r="G9" s="8" t="inlineStr"/>
      <c r="H9" s="8" t="inlineStr"/>
      <c r="I9" s="8" t="inlineStr"/>
    </row>
    <row r="10" ht="16" customHeight="1">
      <c r="A10" s="7" t="inlineStr">
        <is>
          <t>GM0344</t>
        </is>
      </c>
      <c r="B10" s="7" t="inlineStr">
        <is>
          <t>Utrecht</t>
        </is>
      </c>
      <c r="C10" s="8" t="inlineStr">
        <is>
          <t>Ferm Werk</t>
        </is>
      </c>
      <c r="D10" s="8" t="inlineStr">
        <is>
          <t>SW-bedrijf</t>
        </is>
      </c>
      <c r="E10" s="8" t="inlineStr">
        <is>
          <t>https://www.fermwerk.nl</t>
        </is>
      </c>
      <c r="F10" s="8" t="inlineStr"/>
      <c r="G10" s="8" t="inlineStr"/>
      <c r="H10" s="8" t="inlineStr"/>
      <c r="I10" s="8" t="inlineStr"/>
    </row>
    <row r="11" ht="16" customHeight="1">
      <c r="A11" s="7" t="inlineStr">
        <is>
          <t>GM0772</t>
        </is>
      </c>
      <c r="B11" s="7" t="inlineStr">
        <is>
          <t>Eindhoven</t>
        </is>
      </c>
      <c r="C11" s="8" t="inlineStr">
        <is>
          <t>WSP Zuidoost-Brabant</t>
        </is>
      </c>
      <c r="D11" s="8" t="inlineStr">
        <is>
          <t>WSP</t>
        </is>
      </c>
      <c r="E11" s="8" t="inlineStr"/>
      <c r="F11" s="8" t="inlineStr"/>
      <c r="G11" s="8" t="inlineStr"/>
      <c r="H11" s="8" t="inlineStr"/>
      <c r="I11" s="8" t="inlineStr"/>
    </row>
    <row r="12" ht="16" customHeight="1">
      <c r="A12" s="7" t="inlineStr">
        <is>
          <t>GM0772</t>
        </is>
      </c>
      <c r="B12" s="7" t="inlineStr">
        <is>
          <t>Eindhoven</t>
        </is>
      </c>
      <c r="C12" s="8" t="inlineStr">
        <is>
          <t>IW4</t>
        </is>
      </c>
      <c r="D12" s="8" t="inlineStr">
        <is>
          <t>SW-bedrijf</t>
        </is>
      </c>
      <c r="E12" s="8" t="inlineStr">
        <is>
          <t>https://www.iw4.nl</t>
        </is>
      </c>
      <c r="F12" s="8" t="inlineStr"/>
      <c r="G12" s="8" t="inlineStr"/>
      <c r="H12" s="8" t="inlineStr"/>
      <c r="I12" s="8" t="inlineStr"/>
    </row>
    <row r="13" ht="16" customHeight="1">
      <c r="A13" s="7" t="inlineStr">
        <is>
          <t>GM0392</t>
        </is>
      </c>
      <c r="B13" s="7" t="inlineStr">
        <is>
          <t>Groningen</t>
        </is>
      </c>
      <c r="C13" s="8" t="inlineStr">
        <is>
          <t>Werkplein Fivelingo</t>
        </is>
      </c>
      <c r="D13" s="8" t="inlineStr">
        <is>
          <t>Regionaal werkcentrum</t>
        </is>
      </c>
      <c r="E13" s="8" t="inlineStr"/>
      <c r="F13" s="8" t="inlineStr"/>
      <c r="G13" s="8" t="inlineStr"/>
      <c r="H13" s="8" t="inlineStr"/>
      <c r="I13" s="8" t="inlineStr"/>
    </row>
    <row r="14" ht="16" customHeight="1">
      <c r="A14" s="7" t="inlineStr">
        <is>
          <t>GM0392</t>
        </is>
      </c>
      <c r="B14" s="7" t="inlineStr">
        <is>
          <t>Groningen</t>
        </is>
      </c>
      <c r="C14" s="8" t="inlineStr">
        <is>
          <t>Ability</t>
        </is>
      </c>
      <c r="D14" s="8" t="inlineStr">
        <is>
          <t>SW-bedrijf</t>
        </is>
      </c>
      <c r="E14" s="8" t="inlineStr">
        <is>
          <t>https://www.ability.nl</t>
        </is>
      </c>
      <c r="F14" s="8" t="inlineStr"/>
      <c r="G14" s="8" t="inlineStr"/>
      <c r="H14" s="8" t="inlineStr"/>
      <c r="I14" s="8" t="inlineStr"/>
    </row>
    <row r="15" ht="16" customHeight="1">
      <c r="A15" s="7" t="inlineStr">
        <is>
          <t>GM0797</t>
        </is>
      </c>
      <c r="B15" s="7" t="inlineStr">
        <is>
          <t>'s-Hertogenbosch</t>
        </is>
      </c>
      <c r="C15" s="8" t="inlineStr">
        <is>
          <t>Baanbrekers</t>
        </is>
      </c>
      <c r="D15" s="8" t="inlineStr">
        <is>
          <t>SW-bedrijf</t>
        </is>
      </c>
      <c r="E15" s="8" t="inlineStr">
        <is>
          <t>https://www.baanbrekers.nl</t>
        </is>
      </c>
      <c r="F15" s="8" t="inlineStr"/>
      <c r="G15" s="8" t="inlineStr"/>
      <c r="H15" s="8" t="inlineStr"/>
      <c r="I15" s="8" t="inlineStr"/>
    </row>
    <row r="16" ht="16" customHeight="1">
      <c r="A16" s="7" t="inlineStr">
        <is>
          <t>GM0797</t>
        </is>
      </c>
      <c r="B16" s="7" t="inlineStr">
        <is>
          <t>'s-Hertogenbosch</t>
        </is>
      </c>
      <c r="C16" s="8" t="inlineStr">
        <is>
          <t>WSP Midden-Brabant</t>
        </is>
      </c>
      <c r="D16" s="8" t="inlineStr">
        <is>
          <t>WSP</t>
        </is>
      </c>
      <c r="E16" s="8" t="inlineStr"/>
      <c r="F16" s="8" t="inlineStr"/>
      <c r="G16" s="8" t="inlineStr"/>
      <c r="H16" s="8" t="inlineStr"/>
      <c r="I16" s="8" t="inlineStr"/>
    </row>
    <row r="17" ht="16" customHeight="1">
      <c r="A17" s="9" t="n"/>
      <c r="B17" s="9" t="n"/>
      <c r="C17" s="10" t="n"/>
      <c r="D17" s="10" t="n"/>
      <c r="E17" s="10" t="n"/>
      <c r="F17" s="10" t="n"/>
      <c r="G17" s="10" t="n"/>
      <c r="H17" s="10" t="n"/>
      <c r="I17" s="10" t="n"/>
    </row>
    <row r="18" ht="16" customHeight="1">
      <c r="A18" s="9" t="n"/>
      <c r="B18" s="9" t="n"/>
      <c r="C18" s="10" t="n"/>
      <c r="D18" s="10" t="n"/>
      <c r="E18" s="10" t="n"/>
      <c r="F18" s="10" t="n"/>
      <c r="G18" s="10" t="n"/>
      <c r="H18" s="10" t="n"/>
      <c r="I18" s="10" t="n"/>
    </row>
    <row r="19" ht="16" customHeight="1">
      <c r="A19" s="9" t="n"/>
      <c r="B19" s="9" t="n"/>
      <c r="C19" s="10" t="n"/>
      <c r="D19" s="10" t="n"/>
      <c r="E19" s="10" t="n"/>
      <c r="F19" s="10" t="n"/>
      <c r="G19" s="10" t="n"/>
      <c r="H19" s="10" t="n"/>
      <c r="I19" s="10" t="n"/>
    </row>
    <row r="20" ht="16" customHeight="1">
      <c r="A20" s="9" t="n"/>
      <c r="B20" s="9" t="n"/>
      <c r="C20" s="10" t="n"/>
      <c r="D20" s="10" t="n"/>
      <c r="E20" s="10" t="n"/>
      <c r="F20" s="10" t="n"/>
      <c r="G20" s="10" t="n"/>
      <c r="H20" s="10" t="n"/>
      <c r="I20" s="10" t="n"/>
    </row>
    <row r="21" ht="16" customHeight="1">
      <c r="A21" s="9" t="n"/>
      <c r="B21" s="9" t="n"/>
      <c r="C21" s="10" t="n"/>
      <c r="D21" s="10" t="n"/>
      <c r="E21" s="10" t="n"/>
      <c r="F21" s="10" t="n"/>
      <c r="G21" s="10" t="n"/>
      <c r="H21" s="10" t="n"/>
      <c r="I21" s="10" t="n"/>
    </row>
    <row r="22" ht="16" customHeight="1">
      <c r="A22" s="9" t="n"/>
      <c r="B22" s="9" t="n"/>
      <c r="C22" s="10" t="n"/>
      <c r="D22" s="10" t="n"/>
      <c r="E22" s="10" t="n"/>
      <c r="F22" s="10" t="n"/>
      <c r="G22" s="10" t="n"/>
      <c r="H22" s="10" t="n"/>
      <c r="I22" s="10" t="n"/>
    </row>
    <row r="23" ht="16" customHeight="1">
      <c r="A23" s="9" t="n"/>
      <c r="B23" s="9" t="n"/>
      <c r="C23" s="10" t="n"/>
      <c r="D23" s="10" t="n"/>
      <c r="E23" s="10" t="n"/>
      <c r="F23" s="10" t="n"/>
      <c r="G23" s="10" t="n"/>
      <c r="H23" s="10" t="n"/>
      <c r="I23" s="10" t="n"/>
    </row>
    <row r="24" ht="16" customHeight="1">
      <c r="A24" s="9" t="n"/>
      <c r="B24" s="9" t="n"/>
      <c r="C24" s="10" t="n"/>
      <c r="D24" s="10" t="n"/>
      <c r="E24" s="10" t="n"/>
      <c r="F24" s="10" t="n"/>
      <c r="G24" s="10" t="n"/>
      <c r="H24" s="10" t="n"/>
      <c r="I24" s="10" t="n"/>
    </row>
    <row r="25" ht="16" customHeight="1">
      <c r="A25" s="9" t="n"/>
      <c r="B25" s="9" t="n"/>
      <c r="C25" s="10" t="n"/>
      <c r="D25" s="10" t="n"/>
      <c r="E25" s="10" t="n"/>
      <c r="F25" s="10" t="n"/>
      <c r="G25" s="10" t="n"/>
      <c r="H25" s="10" t="n"/>
      <c r="I25" s="10" t="n"/>
    </row>
    <row r="26" ht="16" customHeight="1">
      <c r="A26" s="9" t="n"/>
      <c r="B26" s="9" t="n"/>
      <c r="C26" s="10" t="n"/>
      <c r="D26" s="10" t="n"/>
      <c r="E26" s="10" t="n"/>
      <c r="F26" s="10" t="n"/>
      <c r="G26" s="10" t="n"/>
      <c r="H26" s="10" t="n"/>
      <c r="I26" s="10" t="n"/>
    </row>
    <row r="27" ht="16" customHeight="1">
      <c r="A27" s="9" t="n"/>
      <c r="B27" s="9" t="n"/>
      <c r="C27" s="10" t="n"/>
      <c r="D27" s="10" t="n"/>
      <c r="E27" s="10" t="n"/>
      <c r="F27" s="10" t="n"/>
      <c r="G27" s="10" t="n"/>
      <c r="H27" s="10" t="n"/>
      <c r="I27" s="10" t="n"/>
    </row>
    <row r="28" ht="16" customHeight="1">
      <c r="A28" s="9" t="n"/>
      <c r="B28" s="9" t="n"/>
      <c r="C28" s="10" t="n"/>
      <c r="D28" s="10" t="n"/>
      <c r="E28" s="10" t="n"/>
      <c r="F28" s="10" t="n"/>
      <c r="G28" s="10" t="n"/>
      <c r="H28" s="10" t="n"/>
      <c r="I28" s="10" t="n"/>
    </row>
    <row r="29" ht="16" customHeight="1">
      <c r="A29" s="9" t="n"/>
      <c r="B29" s="9" t="n"/>
      <c r="C29" s="10" t="n"/>
      <c r="D29" s="10" t="n"/>
      <c r="E29" s="10" t="n"/>
      <c r="F29" s="10" t="n"/>
      <c r="G29" s="10" t="n"/>
      <c r="H29" s="10" t="n"/>
      <c r="I29" s="10" t="n"/>
    </row>
    <row r="30" ht="16" customHeight="1">
      <c r="A30" s="9" t="n"/>
      <c r="B30" s="9" t="n"/>
      <c r="C30" s="10" t="n"/>
      <c r="D30" s="10" t="n"/>
      <c r="E30" s="10" t="n"/>
      <c r="F30" s="10" t="n"/>
      <c r="G30" s="10" t="n"/>
      <c r="H30" s="10" t="n"/>
      <c r="I30" s="10" t="n"/>
    </row>
    <row r="31" ht="16" customHeight="1">
      <c r="A31" s="9" t="n"/>
      <c r="B31" s="9" t="n"/>
      <c r="C31" s="10" t="n"/>
      <c r="D31" s="10" t="n"/>
      <c r="E31" s="10" t="n"/>
      <c r="F31" s="10" t="n"/>
      <c r="G31" s="10" t="n"/>
      <c r="H31" s="10" t="n"/>
      <c r="I31" s="10" t="n"/>
    </row>
    <row r="32" ht="16" customHeight="1">
      <c r="A32" s="9" t="n"/>
      <c r="B32" s="9" t="n"/>
      <c r="C32" s="10" t="n"/>
      <c r="D32" s="10" t="n"/>
      <c r="E32" s="10" t="n"/>
      <c r="F32" s="10" t="n"/>
      <c r="G32" s="10" t="n"/>
      <c r="H32" s="10" t="n"/>
      <c r="I32" s="10" t="n"/>
    </row>
    <row r="33" ht="16" customHeight="1">
      <c r="A33" s="9" t="n"/>
      <c r="B33" s="9" t="n"/>
      <c r="C33" s="10" t="n"/>
      <c r="D33" s="10" t="n"/>
      <c r="E33" s="10" t="n"/>
      <c r="F33" s="10" t="n"/>
      <c r="G33" s="10" t="n"/>
      <c r="H33" s="10" t="n"/>
      <c r="I33" s="10" t="n"/>
    </row>
    <row r="34" ht="16" customHeight="1">
      <c r="A34" s="9" t="n"/>
      <c r="B34" s="9" t="n"/>
      <c r="C34" s="10" t="n"/>
      <c r="D34" s="10" t="n"/>
      <c r="E34" s="10" t="n"/>
      <c r="F34" s="10" t="n"/>
      <c r="G34" s="10" t="n"/>
      <c r="H34" s="10" t="n"/>
      <c r="I34" s="10" t="n"/>
    </row>
    <row r="35" ht="16" customHeight="1">
      <c r="A35" s="9" t="n"/>
      <c r="B35" s="9" t="n"/>
      <c r="C35" s="10" t="n"/>
      <c r="D35" s="10" t="n"/>
      <c r="E35" s="10" t="n"/>
      <c r="F35" s="10" t="n"/>
      <c r="G35" s="10" t="n"/>
      <c r="H35" s="10" t="n"/>
      <c r="I35" s="10" t="n"/>
    </row>
    <row r="36" ht="16" customHeight="1">
      <c r="A36" s="9" t="n"/>
      <c r="B36" s="9" t="n"/>
      <c r="C36" s="10" t="n"/>
      <c r="D36" s="10" t="n"/>
      <c r="E36" s="10" t="n"/>
      <c r="F36" s="10" t="n"/>
      <c r="G36" s="10" t="n"/>
      <c r="H36" s="10" t="n"/>
      <c r="I36" s="10" t="n"/>
    </row>
    <row r="37" ht="16" customHeight="1">
      <c r="A37" s="9" t="n"/>
      <c r="B37" s="9" t="n"/>
      <c r="C37" s="10" t="n"/>
      <c r="D37" s="10" t="n"/>
      <c r="E37" s="10" t="n"/>
      <c r="F37" s="10" t="n"/>
      <c r="G37" s="10" t="n"/>
      <c r="H37" s="10" t="n"/>
      <c r="I37" s="10" t="n"/>
    </row>
    <row r="38" ht="16" customHeight="1">
      <c r="A38" s="9" t="n"/>
      <c r="B38" s="9" t="n"/>
      <c r="C38" s="10" t="n"/>
      <c r="D38" s="10" t="n"/>
      <c r="E38" s="10" t="n"/>
      <c r="F38" s="10" t="n"/>
      <c r="G38" s="10" t="n"/>
      <c r="H38" s="10" t="n"/>
      <c r="I38" s="10" t="n"/>
    </row>
    <row r="39" ht="16" customHeight="1">
      <c r="A39" s="9" t="n"/>
      <c r="B39" s="9" t="n"/>
      <c r="C39" s="10" t="n"/>
      <c r="D39" s="10" t="n"/>
      <c r="E39" s="10" t="n"/>
      <c r="F39" s="10" t="n"/>
      <c r="G39" s="10" t="n"/>
      <c r="H39" s="10" t="n"/>
      <c r="I39" s="10" t="n"/>
    </row>
    <row r="40" ht="16" customHeight="1">
      <c r="A40" s="9" t="n"/>
      <c r="B40" s="9" t="n"/>
      <c r="C40" s="10" t="n"/>
      <c r="D40" s="10" t="n"/>
      <c r="E40" s="10" t="n"/>
      <c r="F40" s="10" t="n"/>
      <c r="G40" s="10" t="n"/>
      <c r="H40" s="10" t="n"/>
      <c r="I40" s="10" t="n"/>
    </row>
    <row r="41" ht="16" customHeight="1">
      <c r="A41" s="9" t="n"/>
      <c r="B41" s="9" t="n"/>
      <c r="C41" s="10" t="n"/>
      <c r="D41" s="10" t="n"/>
      <c r="E41" s="10" t="n"/>
      <c r="F41" s="10" t="n"/>
      <c r="G41" s="10" t="n"/>
      <c r="H41" s="10" t="n"/>
      <c r="I41" s="10" t="n"/>
    </row>
    <row r="42" ht="16" customHeight="1">
      <c r="A42" s="9" t="n"/>
      <c r="B42" s="9" t="n"/>
      <c r="C42" s="10" t="n"/>
      <c r="D42" s="10" t="n"/>
      <c r="E42" s="10" t="n"/>
      <c r="F42" s="10" t="n"/>
      <c r="G42" s="10" t="n"/>
      <c r="H42" s="10" t="n"/>
      <c r="I42" s="10" t="n"/>
    </row>
    <row r="43" ht="16" customHeight="1">
      <c r="A43" s="9" t="n"/>
      <c r="B43" s="9" t="n"/>
      <c r="C43" s="10" t="n"/>
      <c r="D43" s="10" t="n"/>
      <c r="E43" s="10" t="n"/>
      <c r="F43" s="10" t="n"/>
      <c r="G43" s="10" t="n"/>
      <c r="H43" s="10" t="n"/>
      <c r="I43" s="10" t="n"/>
    </row>
    <row r="44" ht="16" customHeight="1">
      <c r="A44" s="9" t="n"/>
      <c r="B44" s="9" t="n"/>
      <c r="C44" s="10" t="n"/>
      <c r="D44" s="10" t="n"/>
      <c r="E44" s="10" t="n"/>
      <c r="F44" s="10" t="n"/>
      <c r="G44" s="10" t="n"/>
      <c r="H44" s="10" t="n"/>
      <c r="I44" s="10" t="n"/>
    </row>
    <row r="45" ht="16" customHeight="1">
      <c r="A45" s="9" t="n"/>
      <c r="B45" s="9" t="n"/>
      <c r="C45" s="10" t="n"/>
      <c r="D45" s="10" t="n"/>
      <c r="E45" s="10" t="n"/>
      <c r="F45" s="10" t="n"/>
      <c r="G45" s="10" t="n"/>
      <c r="H45" s="10" t="n"/>
      <c r="I45" s="10" t="n"/>
    </row>
    <row r="46" ht="16" customHeight="1">
      <c r="A46" s="9" t="n"/>
      <c r="B46" s="9" t="n"/>
      <c r="C46" s="10" t="n"/>
      <c r="D46" s="10" t="n"/>
      <c r="E46" s="10" t="n"/>
      <c r="F46" s="10" t="n"/>
      <c r="G46" s="10" t="n"/>
      <c r="H46" s="10" t="n"/>
      <c r="I46" s="10" t="n"/>
    </row>
    <row r="47" ht="16" customHeight="1">
      <c r="A47" s="9" t="n"/>
      <c r="B47" s="9" t="n"/>
      <c r="C47" s="10" t="n"/>
      <c r="D47" s="10" t="n"/>
      <c r="E47" s="10" t="n"/>
      <c r="F47" s="10" t="n"/>
      <c r="G47" s="10" t="n"/>
      <c r="H47" s="10" t="n"/>
      <c r="I47" s="10" t="n"/>
    </row>
    <row r="48" ht="16" customHeight="1">
      <c r="A48" s="9" t="n"/>
      <c r="B48" s="9" t="n"/>
      <c r="C48" s="10" t="n"/>
      <c r="D48" s="10" t="n"/>
      <c r="E48" s="10" t="n"/>
      <c r="F48" s="10" t="n"/>
      <c r="G48" s="10" t="n"/>
      <c r="H48" s="10" t="n"/>
      <c r="I48" s="10" t="n"/>
    </row>
    <row r="49" ht="16" customHeight="1">
      <c r="A49" s="9" t="n"/>
      <c r="B49" s="9" t="n"/>
      <c r="C49" s="10" t="n"/>
      <c r="D49" s="10" t="n"/>
      <c r="E49" s="10" t="n"/>
      <c r="F49" s="10" t="n"/>
      <c r="G49" s="10" t="n"/>
      <c r="H49" s="10" t="n"/>
      <c r="I49" s="10" t="n"/>
    </row>
    <row r="50" ht="16" customHeight="1">
      <c r="A50" s="9" t="n"/>
      <c r="B50" s="9" t="n"/>
      <c r="C50" s="10" t="n"/>
      <c r="D50" s="10" t="n"/>
      <c r="E50" s="10" t="n"/>
      <c r="F50" s="10" t="n"/>
      <c r="G50" s="10" t="n"/>
      <c r="H50" s="10" t="n"/>
      <c r="I50" s="10" t="n"/>
    </row>
    <row r="51" ht="16" customHeight="1">
      <c r="A51" s="9" t="n"/>
      <c r="B51" s="9" t="n"/>
      <c r="C51" s="10" t="n"/>
      <c r="D51" s="10" t="n"/>
      <c r="E51" s="10" t="n"/>
      <c r="F51" s="10" t="n"/>
      <c r="G51" s="10" t="n"/>
      <c r="H51" s="10" t="n"/>
      <c r="I51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2026-04-01T16:37:30Z</dcterms:created>
  <dcterms:modified xmlns:dcterms="http://purl.org/dc/terms/" xmlns:xsi="http://www.w3.org/2001/XMLSchema-instance" xsi:type="dcterms:W3CDTF">2026-04-16T11:41:11Z</dcterms:modified>
</cp:coreProperties>
</file>